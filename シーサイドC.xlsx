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237147f\Desktop\"/>
    </mc:Choice>
  </mc:AlternateContent>
  <xr:revisionPtr revIDLastSave="0" documentId="13_ncr:1_{930FF837-107B-4A0C-BD53-783BEF012DD1}" xr6:coauthVersionLast="47" xr6:coauthVersionMax="47" xr10:uidLastSave="{00000000-0000-0000-0000-000000000000}"/>
  <bookViews>
    <workbookView xWindow="1770" yWindow="1770" windowWidth="21600" windowHeight="11835" firstSheet="2" activeTab="5" xr2:uid="{00000000-000D-0000-FFFF-FFFF00000000}"/>
  </bookViews>
  <sheets>
    <sheet name="メニュー表" sheetId="7" r:id="rId1"/>
    <sheet name="メニュー表（書き方）" sheetId="6" r:id="rId2"/>
    <sheet name="工程表" sheetId="3" r:id="rId3"/>
    <sheet name="1日目分量表" sheetId="4" r:id="rId4"/>
    <sheet name="2日目分量表" sheetId="8" r:id="rId5"/>
    <sheet name="3日目分量表" sheetId="9" r:id="rId6"/>
    <sheet name="Sheet1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6" i="10" l="1"/>
  <c r="D25" i="10"/>
  <c r="D23" i="10"/>
  <c r="D22" i="10"/>
  <c r="D15" i="10"/>
  <c r="D14" i="10"/>
  <c r="D9" i="10"/>
  <c r="D5" i="10"/>
  <c r="D3" i="10"/>
  <c r="D2" i="10"/>
  <c r="L52" i="10"/>
  <c r="D6" i="10"/>
  <c r="D1" i="10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16" i="9"/>
  <c r="G17" i="9"/>
  <c r="G18" i="9"/>
  <c r="G19" i="9"/>
  <c r="G20" i="9"/>
  <c r="G21" i="9"/>
  <c r="G15" i="9"/>
  <c r="G9" i="9"/>
  <c r="G10" i="9"/>
  <c r="G12" i="9"/>
  <c r="G13" i="9"/>
  <c r="G3" i="9"/>
  <c r="G4" i="9"/>
  <c r="G5" i="9"/>
  <c r="G6" i="9"/>
  <c r="G8" i="9"/>
  <c r="G2" i="9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45" i="8"/>
  <c r="G41" i="8"/>
  <c r="G40" i="8"/>
  <c r="G39" i="8"/>
  <c r="G38" i="8"/>
  <c r="G37" i="8"/>
  <c r="G36" i="8"/>
  <c r="G26" i="8"/>
  <c r="G27" i="8"/>
  <c r="G28" i="8"/>
  <c r="G29" i="8"/>
  <c r="G30" i="8"/>
  <c r="G31" i="8"/>
  <c r="G32" i="8"/>
  <c r="G33" i="8"/>
  <c r="G34" i="8"/>
  <c r="G35" i="8"/>
  <c r="G25" i="8"/>
  <c r="G18" i="8"/>
  <c r="G19" i="8"/>
  <c r="G20" i="8"/>
  <c r="G21" i="8"/>
  <c r="G22" i="8"/>
  <c r="G23" i="8"/>
  <c r="G13" i="8"/>
  <c r="G14" i="8"/>
  <c r="G15" i="8"/>
  <c r="G16" i="8"/>
  <c r="G17" i="8"/>
  <c r="G4" i="8"/>
  <c r="G5" i="8"/>
  <c r="G6" i="8"/>
  <c r="G7" i="8"/>
  <c r="G8" i="8"/>
  <c r="G9" i="8"/>
  <c r="G10" i="8"/>
  <c r="G11" i="8"/>
  <c r="G12" i="8"/>
  <c r="G3" i="8"/>
  <c r="G5" i="4"/>
  <c r="G6" i="4"/>
  <c r="G7" i="4"/>
  <c r="G8" i="4"/>
  <c r="G9" i="4"/>
  <c r="G4" i="4"/>
</calcChain>
</file>

<file path=xl/sharedStrings.xml><?xml version="1.0" encoding="utf-8"?>
<sst xmlns="http://schemas.openxmlformats.org/spreadsheetml/2006/main" count="516" uniqueCount="272">
  <si>
    <t>朝</t>
    <rPh sb="0" eb="1">
      <t>アサ</t>
    </rPh>
    <phoneticPr fontId="1"/>
  </si>
  <si>
    <t>昼</t>
    <rPh sb="0" eb="1">
      <t>ヒル</t>
    </rPh>
    <phoneticPr fontId="1"/>
  </si>
  <si>
    <t>夜</t>
    <rPh sb="0" eb="1">
      <t>ヨル</t>
    </rPh>
    <phoneticPr fontId="1"/>
  </si>
  <si>
    <t>豚しゃぶサラダうどん</t>
    <rPh sb="0" eb="1">
      <t>ブタ</t>
    </rPh>
    <phoneticPr fontId="1"/>
  </si>
  <si>
    <t>ナスとひき肉の甘辛丼</t>
    <rPh sb="5" eb="6">
      <t>ニク</t>
    </rPh>
    <rPh sb="7" eb="9">
      <t>アマカラ</t>
    </rPh>
    <rPh sb="9" eb="10">
      <t>ドン</t>
    </rPh>
    <phoneticPr fontId="1"/>
  </si>
  <si>
    <t>材料</t>
  </si>
  <si>
    <t>1人前</t>
  </si>
  <si>
    <t>つくり方</t>
  </si>
  <si>
    <t>メニュー名</t>
  </si>
  <si>
    <t>g</t>
  </si>
  <si>
    <t>玉ねぎ</t>
  </si>
  <si>
    <t>本</t>
  </si>
  <si>
    <t>ml</t>
  </si>
  <si>
    <t>①まず、野菜を一口大にきる。
②厚手の鍋にサラダ油を熱して、すべての材料を焦がさないように炒める
③油が材料全体に回ったら、水を加え沸騰させる
④あくをとったら中火にして、約15～20分煮込む
⑤火を止めてルーを溶かしながら入れる
⑥弱火で火をつける。とろみがつくまで煮込む。
⑦ピーマンと茄子を炒めて、盛り付けたら完成。</t>
    <rPh sb="145" eb="147">
      <t>ナス</t>
    </rPh>
    <rPh sb="148" eb="149">
      <t>イタ</t>
    </rPh>
    <rPh sb="152" eb="153">
      <t>モ</t>
    </rPh>
    <rPh sb="154" eb="155">
      <t>ツ</t>
    </rPh>
    <rPh sb="158" eb="160">
      <t>カンセイ</t>
    </rPh>
    <phoneticPr fontId="1"/>
  </si>
  <si>
    <t>個</t>
    <rPh sb="0" eb="1">
      <t>コ</t>
    </rPh>
    <phoneticPr fontId="1"/>
  </si>
  <si>
    <t>盛り付け用</t>
    <rPh sb="0" eb="1">
      <t>モ</t>
    </rPh>
    <rPh sb="2" eb="3">
      <t>ツ</t>
    </rPh>
    <rPh sb="4" eb="5">
      <t>ヨウ</t>
    </rPh>
    <phoneticPr fontId="1"/>
  </si>
  <si>
    <t>ハムレタスサンド</t>
    <phoneticPr fontId="1"/>
  </si>
  <si>
    <t>玉</t>
  </si>
  <si>
    <t>きゅうり</t>
  </si>
  <si>
    <t>①まな板の上にサランラップを敷く
②ラップの上に、食パン1枚置く
③食パン→レタス→ハム→スライスチーズをのせる
④その上にマヨネーズをかけて、もう一枚のパンを置く
⑤サランラップをかけて、真ん中を包丁でカットすれば2人分完成</t>
    <phoneticPr fontId="1"/>
  </si>
  <si>
    <t>ジャガイモとウインナーのマヨ炒め</t>
    <rPh sb="14" eb="15">
      <t>イタ</t>
    </rPh>
    <phoneticPr fontId="1"/>
  </si>
  <si>
    <t>①マヨネーズ
②ウインナー→ジャガイモ→タマネギを炒める
③コンソメ、塩コショウで味をつける</t>
    <rPh sb="7" eb="8">
      <t>ヒ</t>
    </rPh>
    <rPh sb="35" eb="36">
      <t>シオ</t>
    </rPh>
    <rPh sb="41" eb="42">
      <t>アジイタ</t>
    </rPh>
    <phoneticPr fontId="1"/>
  </si>
  <si>
    <t>コーンスープ</t>
  </si>
  <si>
    <t>①鍋にコーン缶をいれて同量の牛乳を加えて煮詰める。
②塩コショウとコンソメで味付けをする。</t>
    <phoneticPr fontId="1"/>
  </si>
  <si>
    <t>キュウリの浅漬け</t>
    <rPh sb="5" eb="7">
      <t>アサヅ</t>
    </rPh>
    <phoneticPr fontId="1"/>
  </si>
  <si>
    <t>砂糖</t>
  </si>
  <si>
    <t>ごま油</t>
  </si>
  <si>
    <t>みりん</t>
  </si>
  <si>
    <t>かきたま汁</t>
    <rPh sb="4" eb="5">
      <t>ジル</t>
    </rPh>
    <phoneticPr fontId="1"/>
  </si>
  <si>
    <t>①水溶き片栗粉を作る。
②水が沸騰したら醤油とだしの素を入れ、水溶き片栗粉でとろみをつける。
③溶き卵を箸に添わせて入れる。
④卵がふんわりと固まったら小ネギを散らして完成。</t>
  </si>
  <si>
    <t>フルーチェ</t>
    <phoneticPr fontId="1"/>
  </si>
  <si>
    <t>①豚肉をゆでる
②野菜を切る
③うどんをゆでる
④盛り付けてめんつゆをかけて完成</t>
    <rPh sb="1" eb="3">
      <t>ブタニク</t>
    </rPh>
    <rPh sb="9" eb="11">
      <t>ヤサイ</t>
    </rPh>
    <rPh sb="12" eb="13">
      <t>キ</t>
    </rPh>
    <rPh sb="25" eb="26">
      <t>モ</t>
    </rPh>
    <rPh sb="27" eb="28">
      <t>ツ</t>
    </rPh>
    <rPh sb="38" eb="40">
      <t>カンセイ</t>
    </rPh>
    <phoneticPr fontId="1"/>
  </si>
  <si>
    <t>①キュウリを切る
②ジップロックにキュウリと白だしを入れて冷蔵庫で寝かせる</t>
    <rPh sb="6" eb="7">
      <t>キ</t>
    </rPh>
    <rPh sb="22" eb="23">
      <t>シラ</t>
    </rPh>
    <rPh sb="26" eb="27">
      <t>イ</t>
    </rPh>
    <rPh sb="29" eb="32">
      <t>レイゾウコ</t>
    </rPh>
    <rPh sb="33" eb="34">
      <t>ネ</t>
    </rPh>
    <phoneticPr fontId="1"/>
  </si>
  <si>
    <t>①ナスを切る
②鍋にごま油、ニンニク、ショウガひき肉を入れて炒める
③ナスも加えて炒める
④醤油、みりん、砂糖、酒を加えて煮込む
⑤盛り付けたら完成</t>
    <rPh sb="4" eb="5">
      <t>キ</t>
    </rPh>
    <rPh sb="8" eb="9">
      <t>ナベ</t>
    </rPh>
    <rPh sb="12" eb="13">
      <t>アブラ</t>
    </rPh>
    <rPh sb="25" eb="26">
      <t>ニク</t>
    </rPh>
    <rPh sb="27" eb="28">
      <t>イ</t>
    </rPh>
    <rPh sb="30" eb="31">
      <t>イタ</t>
    </rPh>
    <rPh sb="38" eb="39">
      <t>クワ</t>
    </rPh>
    <rPh sb="41" eb="42">
      <t>イタ</t>
    </rPh>
    <rPh sb="46" eb="48">
      <t>ショウユ</t>
    </rPh>
    <rPh sb="53" eb="55">
      <t>サトウ</t>
    </rPh>
    <rPh sb="56" eb="57">
      <t>サケ</t>
    </rPh>
    <rPh sb="58" eb="59">
      <t>クワ</t>
    </rPh>
    <rPh sb="61" eb="63">
      <t>ニコ</t>
    </rPh>
    <rPh sb="66" eb="67">
      <t>モ</t>
    </rPh>
    <rPh sb="68" eb="69">
      <t>ツ</t>
    </rPh>
    <rPh sb="72" eb="74">
      <t>カンセイ</t>
    </rPh>
    <phoneticPr fontId="1"/>
  </si>
  <si>
    <t>米</t>
    <rPh sb="0" eb="1">
      <t>コメ</t>
    </rPh>
    <phoneticPr fontId="1"/>
  </si>
  <si>
    <t>カレーライス</t>
    <phoneticPr fontId="1"/>
  </si>
  <si>
    <t>①フルーチェをボウルに入れて、牛乳を入れる
②混ぜて、冷蔵庫で冷やす</t>
    <phoneticPr fontId="1"/>
  </si>
  <si>
    <t>さくらごはん</t>
    <phoneticPr fontId="1"/>
  </si>
  <si>
    <t>きんぴらごぼう</t>
    <phoneticPr fontId="1"/>
  </si>
  <si>
    <t>にんじん</t>
  </si>
  <si>
    <t>味噌</t>
  </si>
  <si>
    <t>顆粒だし</t>
  </si>
  <si>
    <t>ジャージャー麺</t>
    <rPh sb="6" eb="7">
      <t>メン</t>
    </rPh>
    <phoneticPr fontId="1"/>
  </si>
  <si>
    <t>醬油</t>
  </si>
  <si>
    <t>スイカ</t>
    <phoneticPr fontId="1"/>
  </si>
  <si>
    <t>春雨スープ</t>
    <rPh sb="0" eb="2">
      <t>ハルサメ</t>
    </rPh>
    <phoneticPr fontId="1"/>
  </si>
  <si>
    <t>ｇ</t>
    <phoneticPr fontId="1"/>
  </si>
  <si>
    <t>フルーツポンチ</t>
    <phoneticPr fontId="1"/>
  </si>
  <si>
    <t>バナナ</t>
    <phoneticPr fontId="1"/>
  </si>
  <si>
    <t>食事ヘッド</t>
    <rPh sb="0" eb="2">
      <t>ショクジ</t>
    </rPh>
    <phoneticPr fontId="1"/>
  </si>
  <si>
    <t>食事サブ</t>
    <rPh sb="0" eb="2">
      <t>ショクジ</t>
    </rPh>
    <phoneticPr fontId="1"/>
  </si>
  <si>
    <t>食事メニュー</t>
    <rPh sb="0" eb="2">
      <t>ショクジ</t>
    </rPh>
    <phoneticPr fontId="1"/>
  </si>
  <si>
    <t>メイン</t>
    <phoneticPr fontId="1"/>
  </si>
  <si>
    <t>副菜</t>
    <rPh sb="0" eb="2">
      <t>フクサイ</t>
    </rPh>
    <phoneticPr fontId="1"/>
  </si>
  <si>
    <t>デザート</t>
    <phoneticPr fontId="1"/>
  </si>
  <si>
    <t>汁物</t>
    <rPh sb="0" eb="2">
      <t>シルモノ</t>
    </rPh>
    <phoneticPr fontId="1"/>
  </si>
  <si>
    <t>主食</t>
    <rPh sb="0" eb="2">
      <t>シュショク</t>
    </rPh>
    <phoneticPr fontId="1"/>
  </si>
  <si>
    <t>日程</t>
    <rPh sb="0" eb="2">
      <t>ニッテイ</t>
    </rPh>
    <phoneticPr fontId="1"/>
  </si>
  <si>
    <t>1日目夜</t>
    <rPh sb="1" eb="3">
      <t>ニチメ</t>
    </rPh>
    <rPh sb="3" eb="4">
      <t>ヨル</t>
    </rPh>
    <phoneticPr fontId="1"/>
  </si>
  <si>
    <t>夏野菜カレー</t>
    <rPh sb="0" eb="3">
      <t>ナツヤサイ</t>
    </rPh>
    <phoneticPr fontId="1"/>
  </si>
  <si>
    <t>春雨サラダ</t>
    <rPh sb="0" eb="2">
      <t>ハルサメ</t>
    </rPh>
    <phoneticPr fontId="1"/>
  </si>
  <si>
    <t>ラッシー</t>
    <phoneticPr fontId="1"/>
  </si>
  <si>
    <t>記入方法</t>
    <rPh sb="0" eb="2">
      <t>キニュウ</t>
    </rPh>
    <rPh sb="2" eb="4">
      <t>ホウホウ</t>
    </rPh>
    <phoneticPr fontId="1"/>
  </si>
  <si>
    <t>・主食は米or麺orパン</t>
    <rPh sb="1" eb="3">
      <t>シュショク</t>
    </rPh>
    <rPh sb="4" eb="5">
      <t>コメ</t>
    </rPh>
    <rPh sb="7" eb="8">
      <t>メン</t>
    </rPh>
    <phoneticPr fontId="1"/>
  </si>
  <si>
    <t>・新メニューは色を付ける</t>
    <rPh sb="1" eb="2">
      <t>シン</t>
    </rPh>
    <rPh sb="7" eb="8">
      <t>イロ</t>
    </rPh>
    <rPh sb="9" eb="10">
      <t>ツ</t>
    </rPh>
    <phoneticPr fontId="1"/>
  </si>
  <si>
    <t>・できるだけ同じ食材を1メニューで使わない（例：メインホットドッグ、汁ポトフ）</t>
    <rPh sb="6" eb="7">
      <t>オナ</t>
    </rPh>
    <rPh sb="8" eb="10">
      <t>ショクザイ</t>
    </rPh>
    <rPh sb="17" eb="18">
      <t>ツカ</t>
    </rPh>
    <rPh sb="22" eb="23">
      <t>レイ</t>
    </rPh>
    <rPh sb="34" eb="35">
      <t>シル</t>
    </rPh>
    <phoneticPr fontId="1"/>
  </si>
  <si>
    <t>・最終日のお昼は簡単な丼物にする</t>
    <rPh sb="1" eb="4">
      <t>サイシュウビ</t>
    </rPh>
    <rPh sb="6" eb="7">
      <t>ヒル</t>
    </rPh>
    <rPh sb="8" eb="10">
      <t>カンタン</t>
    </rPh>
    <rPh sb="11" eb="12">
      <t>ドンブリ</t>
    </rPh>
    <rPh sb="12" eb="13">
      <t>モノ</t>
    </rPh>
    <phoneticPr fontId="1"/>
  </si>
  <si>
    <t>2日目朝</t>
    <rPh sb="1" eb="3">
      <t>ニチメ</t>
    </rPh>
    <rPh sb="3" eb="4">
      <t>アサ</t>
    </rPh>
    <phoneticPr fontId="1"/>
  </si>
  <si>
    <t>パン</t>
    <phoneticPr fontId="1"/>
  </si>
  <si>
    <t>ハムサンド</t>
    <phoneticPr fontId="1"/>
  </si>
  <si>
    <t>じゃがいもと
ウインナーの
マヨ炒め</t>
    <rPh sb="16" eb="17">
      <t>イタ</t>
    </rPh>
    <phoneticPr fontId="1"/>
  </si>
  <si>
    <t>コーンスープ</t>
    <phoneticPr fontId="1"/>
  </si>
  <si>
    <t>ヨーグルト</t>
    <phoneticPr fontId="1"/>
  </si>
  <si>
    <t>２日目昼</t>
    <rPh sb="1" eb="3">
      <t>ニチメ</t>
    </rPh>
    <rPh sb="3" eb="4">
      <t>ヒル</t>
    </rPh>
    <phoneticPr fontId="1"/>
  </si>
  <si>
    <t>麺</t>
    <rPh sb="0" eb="1">
      <t>メン</t>
    </rPh>
    <phoneticPr fontId="1"/>
  </si>
  <si>
    <t>豚しゃぶうどん</t>
    <rPh sb="0" eb="1">
      <t>ブタ</t>
    </rPh>
    <phoneticPr fontId="1"/>
  </si>
  <si>
    <t>きゅうりの浅漬け</t>
    <rPh sb="5" eb="7">
      <t>アサヅ</t>
    </rPh>
    <phoneticPr fontId="1"/>
  </si>
  <si>
    <t>２日目夜</t>
    <rPh sb="1" eb="3">
      <t>ニチメ</t>
    </rPh>
    <rPh sb="3" eb="4">
      <t>ヨル</t>
    </rPh>
    <phoneticPr fontId="1"/>
  </si>
  <si>
    <t>ナスとひき肉の
甘辛丼</t>
    <rPh sb="5" eb="6">
      <t>ニク</t>
    </rPh>
    <rPh sb="8" eb="11">
      <t>アマカラドン</t>
    </rPh>
    <phoneticPr fontId="1"/>
  </si>
  <si>
    <t>かきたま汁</t>
    <rPh sb="4" eb="5">
      <t>シル</t>
    </rPh>
    <phoneticPr fontId="1"/>
  </si>
  <si>
    <t>３日目朝</t>
    <rPh sb="1" eb="3">
      <t>ニチメ</t>
    </rPh>
    <rPh sb="3" eb="4">
      <t>アサ</t>
    </rPh>
    <phoneticPr fontId="1"/>
  </si>
  <si>
    <t>３日目昼</t>
    <rPh sb="1" eb="3">
      <t>ニチメ</t>
    </rPh>
    <rPh sb="3" eb="4">
      <t>ヒル</t>
    </rPh>
    <phoneticPr fontId="1"/>
  </si>
  <si>
    <t>３日目夜</t>
    <rPh sb="1" eb="3">
      <t>ニチメ</t>
    </rPh>
    <rPh sb="3" eb="4">
      <t>ヨル</t>
    </rPh>
    <phoneticPr fontId="1"/>
  </si>
  <si>
    <t>みかん</t>
    <phoneticPr fontId="1"/>
  </si>
  <si>
    <t>鶏肉とキャベツの
柚子胡椒炒め</t>
    <rPh sb="0" eb="2">
      <t>トリニク</t>
    </rPh>
    <rPh sb="9" eb="13">
      <t>ユズコショウ</t>
    </rPh>
    <rPh sb="13" eb="14">
      <t>イタ</t>
    </rPh>
    <phoneticPr fontId="1"/>
  </si>
  <si>
    <t>４日目朝</t>
    <rPh sb="1" eb="3">
      <t>ニチメ</t>
    </rPh>
    <rPh sb="3" eb="4">
      <t>アサ</t>
    </rPh>
    <phoneticPr fontId="1"/>
  </si>
  <si>
    <t>ホットドッグ</t>
    <phoneticPr fontId="1"/>
  </si>
  <si>
    <t>アスパラベーコン</t>
    <phoneticPr fontId="1"/>
  </si>
  <si>
    <t>コンソメスープ</t>
    <phoneticPr fontId="1"/>
  </si>
  <si>
    <t>わかめと揚げの
味噌汁</t>
    <rPh sb="4" eb="5">
      <t>ア</t>
    </rPh>
    <rPh sb="8" eb="11">
      <t>ミソシル</t>
    </rPh>
    <phoneticPr fontId="1"/>
  </si>
  <si>
    <t>４日目昼</t>
    <rPh sb="1" eb="3">
      <t>ニチメ</t>
    </rPh>
    <rPh sb="3" eb="4">
      <t>ヒル</t>
    </rPh>
    <phoneticPr fontId="1"/>
  </si>
  <si>
    <t>４日目夜</t>
    <rPh sb="1" eb="3">
      <t>ニチメ</t>
    </rPh>
    <rPh sb="3" eb="4">
      <t>ヨル</t>
    </rPh>
    <phoneticPr fontId="1"/>
  </si>
  <si>
    <t>５日目朝</t>
    <rPh sb="1" eb="3">
      <t>ニチメ</t>
    </rPh>
    <rPh sb="3" eb="4">
      <t>アサ</t>
    </rPh>
    <phoneticPr fontId="1"/>
  </si>
  <si>
    <t>５日目昼</t>
    <rPh sb="1" eb="3">
      <t>ニチメ</t>
    </rPh>
    <rPh sb="3" eb="4">
      <t>ヒル</t>
    </rPh>
    <phoneticPr fontId="1"/>
  </si>
  <si>
    <t>５日目夜</t>
    <rPh sb="1" eb="3">
      <t>ニチメ</t>
    </rPh>
    <rPh sb="3" eb="4">
      <t>ヨル</t>
    </rPh>
    <phoneticPr fontId="1"/>
  </si>
  <si>
    <t>6日目朝</t>
    <rPh sb="1" eb="3">
      <t>ニチメ</t>
    </rPh>
    <rPh sb="3" eb="4">
      <t>アサ</t>
    </rPh>
    <phoneticPr fontId="1"/>
  </si>
  <si>
    <t>弁当</t>
    <rPh sb="0" eb="2">
      <t>ベントウ</t>
    </rPh>
    <phoneticPr fontId="1"/>
  </si>
  <si>
    <t>2024年度 シーサイドCキャンプ　食事メニュー表</t>
    <rPh sb="4" eb="6">
      <t>ネンド</t>
    </rPh>
    <rPh sb="18" eb="20">
      <t>ショクジ</t>
    </rPh>
    <rPh sb="24" eb="25">
      <t>ヒョウ</t>
    </rPh>
    <phoneticPr fontId="1"/>
  </si>
  <si>
    <t>・メニューは原則スプレッドシートより選ぶ</t>
    <rPh sb="6" eb="8">
      <t>ゲンソク</t>
    </rPh>
    <rPh sb="18" eb="19">
      <t>エラ</t>
    </rPh>
    <phoneticPr fontId="1"/>
  </si>
  <si>
    <t>人前</t>
    <rPh sb="0" eb="2">
      <t>ニンマエ</t>
    </rPh>
    <phoneticPr fontId="1"/>
  </si>
  <si>
    <t>↓黄色い欄を変更</t>
    <rPh sb="1" eb="3">
      <t>キイロ</t>
    </rPh>
    <rPh sb="4" eb="5">
      <t>ラン</t>
    </rPh>
    <rPh sb="6" eb="8">
      <t>ヘンコウ</t>
    </rPh>
    <phoneticPr fontId="1"/>
  </si>
  <si>
    <t>6日目昼</t>
    <rPh sb="1" eb="3">
      <t>ニチメ</t>
    </rPh>
    <rPh sb="3" eb="4">
      <t>ヒル</t>
    </rPh>
    <phoneticPr fontId="1"/>
  </si>
  <si>
    <t>2026年度　シーサイドCキャンプ　食事メニュー表</t>
    <rPh sb="4" eb="6">
      <t>ネンド</t>
    </rPh>
    <rPh sb="18" eb="20">
      <t>ショクジ</t>
    </rPh>
    <rPh sb="24" eb="25">
      <t>ヒョウ</t>
    </rPh>
    <phoneticPr fontId="1"/>
  </si>
  <si>
    <t>パペット、がんも</t>
    <phoneticPr fontId="1"/>
  </si>
  <si>
    <t>バービー</t>
    <phoneticPr fontId="1"/>
  </si>
  <si>
    <t>カレー</t>
    <phoneticPr fontId="1"/>
  </si>
  <si>
    <t>米</t>
    <rPh sb="0" eb="1">
      <t>コメ</t>
    </rPh>
    <phoneticPr fontId="1"/>
  </si>
  <si>
    <t>冷しゃぶうどん</t>
    <rPh sb="0" eb="1">
      <t>レイ</t>
    </rPh>
    <phoneticPr fontId="1"/>
  </si>
  <si>
    <t>麺</t>
    <rPh sb="0" eb="1">
      <t>メン</t>
    </rPh>
    <phoneticPr fontId="1"/>
  </si>
  <si>
    <t>トマトとツナのサラダ</t>
    <phoneticPr fontId="1"/>
  </si>
  <si>
    <t>焼きそば</t>
    <rPh sb="0" eb="1">
      <t>ヤ</t>
    </rPh>
    <phoneticPr fontId="1"/>
  </si>
  <si>
    <t>鶏そぼろ丼</t>
    <rPh sb="0" eb="1">
      <t>トリ</t>
    </rPh>
    <rPh sb="4" eb="5">
      <t>ドン</t>
    </rPh>
    <phoneticPr fontId="1"/>
  </si>
  <si>
    <t>お吸い物</t>
    <rPh sb="1" eb="2">
      <t>ス</t>
    </rPh>
    <rPh sb="3" eb="4">
      <t>モノ</t>
    </rPh>
    <phoneticPr fontId="1"/>
  </si>
  <si>
    <t>3色ナムル</t>
    <rPh sb="1" eb="2">
      <t>ショク</t>
    </rPh>
    <phoneticPr fontId="1"/>
  </si>
  <si>
    <t>コーンスープ</t>
    <phoneticPr fontId="1"/>
  </si>
  <si>
    <t>パン</t>
    <phoneticPr fontId="1"/>
  </si>
  <si>
    <t>ゼリー</t>
    <phoneticPr fontId="1"/>
  </si>
  <si>
    <t>ツナキュウリサンド</t>
    <phoneticPr fontId="1"/>
  </si>
  <si>
    <t>鶏肉と油揚げの煮物</t>
    <rPh sb="0" eb="2">
      <t>トリニク</t>
    </rPh>
    <rPh sb="3" eb="5">
      <t>アブラア</t>
    </rPh>
    <rPh sb="7" eb="9">
      <t>ニモノ</t>
    </rPh>
    <phoneticPr fontId="1"/>
  </si>
  <si>
    <t>なすびの味噌汁</t>
    <rPh sb="4" eb="7">
      <t>ミソシル</t>
    </rPh>
    <phoneticPr fontId="1"/>
  </si>
  <si>
    <t>ほうれん草のおひたし</t>
    <rPh sb="4" eb="5">
      <t>ソウ</t>
    </rPh>
    <phoneticPr fontId="1"/>
  </si>
  <si>
    <t>ポテトサラダ</t>
    <phoneticPr fontId="1"/>
  </si>
  <si>
    <t>夜</t>
    <rPh sb="0" eb="1">
      <t>ヨル</t>
    </rPh>
    <phoneticPr fontId="1"/>
  </si>
  <si>
    <t>鶏そぼろ丼</t>
    <rPh sb="0" eb="1">
      <t>トリ</t>
    </rPh>
    <rPh sb="4" eb="5">
      <t>ドン</t>
    </rPh>
    <phoneticPr fontId="1"/>
  </si>
  <si>
    <t>しょうゆ</t>
  </si>
  <si>
    <t>鶏ひき肉</t>
    <phoneticPr fontId="1"/>
  </si>
  <si>
    <t>酒</t>
    <phoneticPr fontId="1"/>
  </si>
  <si>
    <t>みりん</t>
    <phoneticPr fontId="1"/>
  </si>
  <si>
    <t>砂糖</t>
    <phoneticPr fontId="1"/>
  </si>
  <si>
    <t>米</t>
    <rPh sb="0" eb="1">
      <t>コメ</t>
    </rPh>
    <phoneticPr fontId="1"/>
  </si>
  <si>
    <t>ｇ</t>
    <phoneticPr fontId="1"/>
  </si>
  <si>
    <t>ほうれん草のおひたし</t>
    <rPh sb="4" eb="5">
      <t>ソウ</t>
    </rPh>
    <phoneticPr fontId="1"/>
  </si>
  <si>
    <t>ほうれん草</t>
  </si>
  <si>
    <t>焼き海苔</t>
  </si>
  <si>
    <t>調味料</t>
  </si>
  <si>
    <t>めんつゆ（２倍濃縮）</t>
  </si>
  <si>
    <t>適量</t>
  </si>
  <si>
    <t>ｍｌ</t>
    <phoneticPr fontId="1"/>
  </si>
  <si>
    <t>かまぼこ</t>
  </si>
  <si>
    <t>カイワレ</t>
  </si>
  <si>
    <t>パック</t>
  </si>
  <si>
    <t>わかめ</t>
  </si>
  <si>
    <t>朝</t>
    <rPh sb="0" eb="1">
      <t>アサ</t>
    </rPh>
    <phoneticPr fontId="1"/>
  </si>
  <si>
    <t>鶏肉</t>
  </si>
  <si>
    <t>大根</t>
  </si>
  <si>
    <t>厚揚げ</t>
  </si>
  <si>
    <t>えのき</t>
  </si>
  <si>
    <r>
      <rPr>
        <sz val="10"/>
        <color theme="1"/>
        <rFont val="ＭＳ Ｐゴシック"/>
        <family val="2"/>
        <charset val="128"/>
      </rPr>
      <t>調味料</t>
    </r>
    <rPh sb="0" eb="3">
      <t>チョウミリョウ</t>
    </rPh>
    <phoneticPr fontId="1"/>
  </si>
  <si>
    <t>だしの素</t>
  </si>
  <si>
    <t>料理酒</t>
  </si>
  <si>
    <t>なすびの味噌汁</t>
    <rPh sb="4" eb="7">
      <t>ミソシル</t>
    </rPh>
    <phoneticPr fontId="1"/>
  </si>
  <si>
    <t>ナス</t>
  </si>
  <si>
    <t>油揚げ</t>
  </si>
  <si>
    <t>枚</t>
  </si>
  <si>
    <t>水</t>
  </si>
  <si>
    <t>昼</t>
    <rPh sb="0" eb="1">
      <t>ヒル</t>
    </rPh>
    <phoneticPr fontId="1"/>
  </si>
  <si>
    <r>
      <rPr>
        <sz val="10"/>
        <color theme="1"/>
        <rFont val="ＭＳ Ｐゴシック"/>
        <family val="2"/>
        <charset val="128"/>
      </rPr>
      <t>うどん</t>
    </r>
    <phoneticPr fontId="1"/>
  </si>
  <si>
    <r>
      <rPr>
        <sz val="10"/>
        <color theme="1"/>
        <rFont val="ＭＳ Ｐゴシック"/>
        <family val="2"/>
        <charset val="128"/>
      </rPr>
      <t>豚ロース（スライス）</t>
    </r>
    <rPh sb="0" eb="1">
      <t>ブタ</t>
    </rPh>
    <phoneticPr fontId="1"/>
  </si>
  <si>
    <r>
      <rPr>
        <sz val="10"/>
        <color theme="1"/>
        <rFont val="ＭＳ Ｐゴシック"/>
        <family val="2"/>
        <charset val="128"/>
      </rPr>
      <t>お湯</t>
    </r>
    <rPh sb="1" eb="2">
      <t>ユ</t>
    </rPh>
    <phoneticPr fontId="1"/>
  </si>
  <si>
    <r>
      <rPr>
        <sz val="10"/>
        <color theme="1"/>
        <rFont val="ＭＳ Ｐゴシック"/>
        <family val="2"/>
        <charset val="128"/>
      </rPr>
      <t>酒</t>
    </r>
    <rPh sb="0" eb="1">
      <t>サケ</t>
    </rPh>
    <phoneticPr fontId="1"/>
  </si>
  <si>
    <r>
      <rPr>
        <sz val="10"/>
        <color theme="1"/>
        <rFont val="ＭＳ Ｐゴシック"/>
        <family val="2"/>
        <charset val="128"/>
      </rPr>
      <t>冷水</t>
    </r>
    <rPh sb="0" eb="2">
      <t>レイスイ</t>
    </rPh>
    <phoneticPr fontId="1"/>
  </si>
  <si>
    <r>
      <rPr>
        <sz val="10"/>
        <color theme="1"/>
        <rFont val="ＭＳ Ｐゴシック"/>
        <family val="2"/>
        <charset val="128"/>
      </rPr>
      <t>長ネギ</t>
    </r>
    <rPh sb="0" eb="1">
      <t>ナガ</t>
    </rPh>
    <phoneticPr fontId="1"/>
  </si>
  <si>
    <t>すりごま</t>
  </si>
  <si>
    <r>
      <rPr>
        <sz val="10"/>
        <color theme="1"/>
        <rFont val="ＭＳ Ｐゴシック"/>
        <family val="2"/>
        <charset val="128"/>
      </rPr>
      <t>すりごま</t>
    </r>
    <phoneticPr fontId="1"/>
  </si>
  <si>
    <t>マヨネーズ</t>
  </si>
  <si>
    <r>
      <rPr>
        <sz val="10"/>
        <color theme="1"/>
        <rFont val="ＭＳ Ｐゴシック"/>
        <family val="2"/>
        <charset val="128"/>
      </rPr>
      <t>マヨネーズ</t>
    </r>
    <phoneticPr fontId="1"/>
  </si>
  <si>
    <r>
      <rPr>
        <sz val="10"/>
        <color theme="1"/>
        <rFont val="ＭＳ Ｐゴシック"/>
        <family val="2"/>
        <charset val="128"/>
      </rPr>
      <t>めんつゆ（</t>
    </r>
    <r>
      <rPr>
        <sz val="10"/>
        <color theme="1"/>
        <rFont val="Kosugi Maru"/>
        <family val="2"/>
      </rPr>
      <t>2</t>
    </r>
    <r>
      <rPr>
        <sz val="10"/>
        <color theme="1"/>
        <rFont val="ＭＳ Ｐゴシック"/>
        <family val="2"/>
        <charset val="128"/>
      </rPr>
      <t>倍濃縮）</t>
    </r>
    <rPh sb="6" eb="9">
      <t>バイノウシュク</t>
    </rPh>
    <phoneticPr fontId="1"/>
  </si>
  <si>
    <r>
      <rPr>
        <sz val="10"/>
        <color theme="1"/>
        <rFont val="ＭＳ Ｐゴシック"/>
        <family val="2"/>
        <charset val="128"/>
      </rPr>
      <t>砂糖</t>
    </r>
    <rPh sb="0" eb="2">
      <t>サトウ</t>
    </rPh>
    <phoneticPr fontId="1"/>
  </si>
  <si>
    <r>
      <rPr>
        <sz val="10"/>
        <color theme="1"/>
        <rFont val="ＭＳ Ｐゴシック"/>
        <family val="2"/>
        <charset val="128"/>
      </rPr>
      <t>きゅうり</t>
    </r>
    <phoneticPr fontId="1"/>
  </si>
  <si>
    <t>適量</t>
    <rPh sb="0" eb="2">
      <t>テキリョウ</t>
    </rPh>
    <phoneticPr fontId="1"/>
  </si>
  <si>
    <t>玉</t>
    <rPh sb="0" eb="1">
      <t>タマ</t>
    </rPh>
    <phoneticPr fontId="1"/>
  </si>
  <si>
    <r>
      <rPr>
        <sz val="10"/>
        <color theme="1"/>
        <rFont val="ＭＳ Ｐゴシック"/>
        <family val="2"/>
        <charset val="128"/>
      </rPr>
      <t>玉</t>
    </r>
    <rPh sb="0" eb="1">
      <t>タマ</t>
    </rPh>
    <phoneticPr fontId="1"/>
  </si>
  <si>
    <t>ｇ</t>
    <phoneticPr fontId="1"/>
  </si>
  <si>
    <r>
      <rPr>
        <sz val="10"/>
        <color theme="1"/>
        <rFont val="ＭＳ Ｐゴシック"/>
        <family val="2"/>
        <charset val="128"/>
      </rPr>
      <t>ｇ</t>
    </r>
    <phoneticPr fontId="1"/>
  </si>
  <si>
    <t>ｍｌ</t>
    <phoneticPr fontId="1"/>
  </si>
  <si>
    <r>
      <rPr>
        <sz val="10"/>
        <color theme="1"/>
        <rFont val="ＭＳ Ｐゴシック"/>
        <family val="2"/>
        <charset val="128"/>
      </rPr>
      <t>ｍｌ</t>
    </r>
    <phoneticPr fontId="1"/>
  </si>
  <si>
    <t>本</t>
    <rPh sb="0" eb="1">
      <t>ホン</t>
    </rPh>
    <phoneticPr fontId="1"/>
  </si>
  <si>
    <r>
      <rPr>
        <sz val="10"/>
        <color theme="1"/>
        <rFont val="ＭＳ Ｐゴシック"/>
        <family val="2"/>
        <charset val="128"/>
      </rPr>
      <t>本</t>
    </r>
    <rPh sb="0" eb="1">
      <t>ホン</t>
    </rPh>
    <phoneticPr fontId="1"/>
  </si>
  <si>
    <t>ポテトサラダ</t>
    <phoneticPr fontId="1"/>
  </si>
  <si>
    <t>じゃがいも</t>
  </si>
  <si>
    <r>
      <rPr>
        <sz val="10"/>
        <color theme="1"/>
        <rFont val="ＭＳ Ｐゴシック"/>
        <family val="2"/>
        <charset val="128"/>
      </rPr>
      <t>じゃがいも</t>
    </r>
    <phoneticPr fontId="1"/>
  </si>
  <si>
    <r>
      <rPr>
        <sz val="10"/>
        <color theme="1"/>
        <rFont val="ＭＳ Ｐゴシック"/>
        <family val="2"/>
        <charset val="128"/>
      </rPr>
      <t>玉ねぎ</t>
    </r>
    <rPh sb="0" eb="1">
      <t>タマ</t>
    </rPh>
    <phoneticPr fontId="1"/>
  </si>
  <si>
    <r>
      <rPr>
        <sz val="10"/>
        <color theme="1"/>
        <rFont val="ＭＳ Ｐゴシック"/>
        <family val="2"/>
        <charset val="128"/>
      </rPr>
      <t>にんじん</t>
    </r>
    <phoneticPr fontId="1"/>
  </si>
  <si>
    <r>
      <rPr>
        <sz val="10"/>
        <color theme="1"/>
        <rFont val="ＭＳ Ｐゴシック"/>
        <family val="2"/>
        <charset val="128"/>
      </rPr>
      <t>ハム</t>
    </r>
    <phoneticPr fontId="1"/>
  </si>
  <si>
    <t>塩</t>
  </si>
  <si>
    <r>
      <rPr>
        <sz val="10"/>
        <color theme="1"/>
        <rFont val="ＭＳ Ｐゴシック"/>
        <family val="2"/>
        <charset val="128"/>
      </rPr>
      <t>塩</t>
    </r>
    <rPh sb="0" eb="1">
      <t>シオ</t>
    </rPh>
    <phoneticPr fontId="1"/>
  </si>
  <si>
    <t>こしょう</t>
    <phoneticPr fontId="1"/>
  </si>
  <si>
    <t>少々</t>
  </si>
  <si>
    <t>少々</t>
    <rPh sb="0" eb="2">
      <t>ショウショウ</t>
    </rPh>
    <phoneticPr fontId="1"/>
  </si>
  <si>
    <t>個</t>
  </si>
  <si>
    <r>
      <rPr>
        <sz val="10"/>
        <color theme="1"/>
        <rFont val="ＭＳ Ｐゴシック"/>
        <family val="2"/>
        <charset val="128"/>
      </rPr>
      <t>個</t>
    </r>
    <rPh sb="0" eb="1">
      <t>コ</t>
    </rPh>
    <phoneticPr fontId="1"/>
  </si>
  <si>
    <r>
      <rPr>
        <sz val="10"/>
        <color theme="1"/>
        <rFont val="ＭＳ Ｐゴシック"/>
        <family val="2"/>
        <charset val="128"/>
      </rPr>
      <t>枚</t>
    </r>
    <rPh sb="0" eb="1">
      <t>マイ</t>
    </rPh>
    <phoneticPr fontId="1"/>
  </si>
  <si>
    <t>夜</t>
    <rPh sb="0" eb="1">
      <t>ヨル</t>
    </rPh>
    <phoneticPr fontId="1"/>
  </si>
  <si>
    <t>カレー</t>
    <phoneticPr fontId="1"/>
  </si>
  <si>
    <t>豚こま肉</t>
  </si>
  <si>
    <t>こめ</t>
  </si>
  <si>
    <t>人参</t>
  </si>
  <si>
    <t>米</t>
    <rPh sb="0" eb="1">
      <t>コメ</t>
    </rPh>
    <phoneticPr fontId="1"/>
  </si>
  <si>
    <t>調味料</t>
    <rPh sb="0" eb="3">
      <t>チョウミリョウ</t>
    </rPh>
    <phoneticPr fontId="1"/>
  </si>
  <si>
    <r>
      <rPr>
        <sz val="10"/>
        <color theme="1"/>
        <rFont val="ＭＳ Ｐゴシック"/>
        <family val="2"/>
        <charset val="128"/>
      </rPr>
      <t>調味料</t>
    </r>
    <rPh sb="0" eb="3">
      <t>チョウミリョウ</t>
    </rPh>
    <phoneticPr fontId="1"/>
  </si>
  <si>
    <t>サラダ油</t>
  </si>
  <si>
    <t>カレールウ</t>
  </si>
  <si>
    <t>1/12 箱</t>
  </si>
  <si>
    <t>トマトとツナのサラダ</t>
    <phoneticPr fontId="1"/>
  </si>
  <si>
    <t>トマト</t>
  </si>
  <si>
    <t>レタス</t>
  </si>
  <si>
    <t>ツナ缶</t>
  </si>
  <si>
    <t>缶</t>
  </si>
  <si>
    <t>オリーブオイル</t>
  </si>
  <si>
    <t>レモン汁</t>
  </si>
  <si>
    <t>黒コショウ</t>
  </si>
  <si>
    <t>塩コショウ</t>
  </si>
  <si>
    <t>朝</t>
    <rPh sb="0" eb="1">
      <t>アサ</t>
    </rPh>
    <phoneticPr fontId="1"/>
  </si>
  <si>
    <t>ツナキュウリサンド</t>
    <phoneticPr fontId="1"/>
  </si>
  <si>
    <t>食パン(6枚切り)</t>
  </si>
  <si>
    <t>袋</t>
  </si>
  <si>
    <t>スライスチーズ</t>
  </si>
  <si>
    <t>ツナ</t>
    <phoneticPr fontId="1"/>
  </si>
  <si>
    <t>缶</t>
    <rPh sb="0" eb="1">
      <t>カン</t>
    </rPh>
    <phoneticPr fontId="1"/>
  </si>
  <si>
    <t>少量</t>
  </si>
  <si>
    <t>コーンスープ</t>
    <phoneticPr fontId="1"/>
  </si>
  <si>
    <t>コーンクリーム缶
（1缶180ｇ）</t>
  </si>
  <si>
    <r>
      <rPr>
        <sz val="10"/>
        <color theme="1"/>
        <rFont val="ＭＳ Ｐゴシック"/>
        <family val="2"/>
        <charset val="128"/>
      </rPr>
      <t>牛乳</t>
    </r>
    <rPh sb="0" eb="2">
      <t>ギュウニュウ</t>
    </rPh>
    <phoneticPr fontId="1"/>
  </si>
  <si>
    <r>
      <rPr>
        <sz val="10"/>
        <color theme="1"/>
        <rFont val="ＭＳ Ｐゴシック"/>
        <family val="2"/>
        <charset val="128"/>
      </rPr>
      <t>コンソメ</t>
    </r>
    <phoneticPr fontId="1"/>
  </si>
  <si>
    <t>g</t>
    <phoneticPr fontId="1"/>
  </si>
  <si>
    <t>昼</t>
    <rPh sb="0" eb="1">
      <t>ヒル</t>
    </rPh>
    <phoneticPr fontId="1"/>
  </si>
  <si>
    <t>やきそば</t>
    <phoneticPr fontId="1"/>
  </si>
  <si>
    <r>
      <rPr>
        <sz val="10"/>
        <color theme="1"/>
        <rFont val="ＭＳ Ｐゴシック"/>
        <family val="2"/>
        <charset val="128"/>
      </rPr>
      <t>焼きそばめん</t>
    </r>
    <rPh sb="0" eb="1">
      <t>ヤ</t>
    </rPh>
    <phoneticPr fontId="1"/>
  </si>
  <si>
    <r>
      <rPr>
        <sz val="10"/>
        <color theme="1"/>
        <rFont val="ＭＳ Ｐゴシック"/>
        <family val="2"/>
        <charset val="128"/>
      </rPr>
      <t>豚小間切れにく</t>
    </r>
    <rPh sb="0" eb="4">
      <t>ブタコマキ</t>
    </rPh>
    <phoneticPr fontId="1"/>
  </si>
  <si>
    <r>
      <rPr>
        <sz val="10"/>
        <color theme="1"/>
        <rFont val="ＭＳ Ｐゴシック"/>
        <family val="2"/>
        <charset val="128"/>
      </rPr>
      <t>キャベツ</t>
    </r>
    <phoneticPr fontId="1"/>
  </si>
  <si>
    <t>もやし</t>
  </si>
  <si>
    <r>
      <rPr>
        <sz val="10"/>
        <color theme="1"/>
        <rFont val="ＭＳ Ｐゴシック"/>
        <family val="2"/>
        <charset val="128"/>
      </rPr>
      <t>もやし</t>
    </r>
    <phoneticPr fontId="1"/>
  </si>
  <si>
    <r>
      <rPr>
        <sz val="10"/>
        <color theme="1"/>
        <rFont val="ＭＳ Ｐゴシック"/>
        <family val="2"/>
        <charset val="128"/>
      </rPr>
      <t>サラダ油</t>
    </r>
    <rPh sb="3" eb="4">
      <t>アブラ</t>
    </rPh>
    <phoneticPr fontId="1"/>
  </si>
  <si>
    <r>
      <rPr>
        <sz val="10"/>
        <color theme="1"/>
        <rFont val="ＭＳ Ｐゴシック"/>
        <family val="2"/>
        <charset val="128"/>
      </rPr>
      <t>焼きそばソース</t>
    </r>
    <rPh sb="0" eb="1">
      <t>ヤ</t>
    </rPh>
    <phoneticPr fontId="1"/>
  </si>
  <si>
    <r>
      <rPr>
        <sz val="10"/>
        <color theme="1"/>
        <rFont val="ＭＳ Ｐゴシック"/>
        <family val="2"/>
        <charset val="128"/>
      </rPr>
      <t>塩コショウ</t>
    </r>
    <rPh sb="0" eb="1">
      <t>シオ</t>
    </rPh>
    <phoneticPr fontId="1"/>
  </si>
  <si>
    <t>3色ナムル</t>
    <rPh sb="1" eb="2">
      <t>イロ</t>
    </rPh>
    <phoneticPr fontId="1"/>
  </si>
  <si>
    <t>鶏がらスープの素</t>
  </si>
  <si>
    <t>お吸い物</t>
    <rPh sb="1" eb="2">
      <t>ス</t>
    </rPh>
    <rPh sb="3" eb="4">
      <t>モノ</t>
    </rPh>
    <phoneticPr fontId="1"/>
  </si>
  <si>
    <t>白だし</t>
  </si>
  <si>
    <t>水</t>
    <rPh sb="0" eb="1">
      <t>ミズ</t>
    </rPh>
    <phoneticPr fontId="1"/>
  </si>
  <si>
    <t>きゅうり</t>
    <phoneticPr fontId="1"/>
  </si>
  <si>
    <t>本</t>
    <rPh sb="0" eb="1">
      <t>ホン</t>
    </rPh>
    <phoneticPr fontId="1"/>
  </si>
  <si>
    <t>じゃがいも</t>
    <phoneticPr fontId="1"/>
  </si>
  <si>
    <t>玉ねぎ</t>
    <rPh sb="0" eb="1">
      <t>タマ</t>
    </rPh>
    <phoneticPr fontId="1"/>
  </si>
  <si>
    <t>レタス</t>
    <phoneticPr fontId="1"/>
  </si>
  <si>
    <t>玉</t>
    <rPh sb="0" eb="1">
      <t>タマ</t>
    </rPh>
    <phoneticPr fontId="1"/>
  </si>
  <si>
    <t>袋</t>
    <phoneticPr fontId="1"/>
  </si>
  <si>
    <t>11（1袋200ｇ）</t>
    <rPh sb="4" eb="5">
      <t>フクロ</t>
    </rPh>
    <phoneticPr fontId="1"/>
  </si>
  <si>
    <t>えのき</t>
    <phoneticPr fontId="1"/>
  </si>
  <si>
    <t>４（1袋200ｇ）</t>
    <rPh sb="3" eb="4">
      <t>フクロ</t>
    </rPh>
    <phoneticPr fontId="1"/>
  </si>
  <si>
    <t>ハム</t>
    <phoneticPr fontId="1"/>
  </si>
  <si>
    <t>６（1袋4枚）</t>
    <rPh sb="3" eb="4">
      <t>フクロ</t>
    </rPh>
    <rPh sb="5" eb="6">
      <t>マイ</t>
    </rPh>
    <phoneticPr fontId="1"/>
  </si>
  <si>
    <t>厚揚げ</t>
    <rPh sb="0" eb="2">
      <t>アツア</t>
    </rPh>
    <phoneticPr fontId="1"/>
  </si>
  <si>
    <t>パック</t>
    <phoneticPr fontId="1"/>
  </si>
  <si>
    <t>焼き海苔</t>
    <rPh sb="0" eb="1">
      <t>ヤ</t>
    </rPh>
    <rPh sb="2" eb="4">
      <t>ノリ</t>
    </rPh>
    <phoneticPr fontId="1"/>
  </si>
  <si>
    <t>袋</t>
    <rPh sb="0" eb="1">
      <t>フクロ</t>
    </rPh>
    <phoneticPr fontId="1"/>
  </si>
  <si>
    <t>3（1袋２０ｇ）</t>
    <rPh sb="3" eb="4">
      <t>フクロ</t>
    </rPh>
    <phoneticPr fontId="1"/>
  </si>
  <si>
    <t>カレールウ</t>
    <phoneticPr fontId="1"/>
  </si>
  <si>
    <t>箱</t>
    <rPh sb="0" eb="1">
      <t>ハコ</t>
    </rPh>
    <phoneticPr fontId="1"/>
  </si>
  <si>
    <t>ツナ缶</t>
    <rPh sb="2" eb="3">
      <t>カン</t>
    </rPh>
    <phoneticPr fontId="1"/>
  </si>
  <si>
    <t>缶</t>
    <rPh sb="0" eb="1">
      <t>カン</t>
    </rPh>
    <phoneticPr fontId="1"/>
  </si>
  <si>
    <t>コーンクリーム缶</t>
    <rPh sb="7" eb="8">
      <t>カン</t>
    </rPh>
    <phoneticPr fontId="1"/>
  </si>
  <si>
    <r>
      <rPr>
        <sz val="10"/>
        <color theme="1"/>
        <rFont val="ＭＳ Ｐゴシック"/>
        <family val="2"/>
        <charset val="128"/>
      </rPr>
      <t>スライスチーズ</t>
    </r>
    <phoneticPr fontId="1"/>
  </si>
  <si>
    <t>4（1袋7枚）</t>
    <rPh sb="3" eb="4">
      <t>フクロ</t>
    </rPh>
    <rPh sb="5" eb="6">
      <t>マイ</t>
    </rPh>
    <phoneticPr fontId="1"/>
  </si>
  <si>
    <r>
      <rPr>
        <sz val="10"/>
        <color theme="1"/>
        <rFont val="ＭＳ Ｐゴシック"/>
        <family val="2"/>
        <charset val="128"/>
      </rPr>
      <t>袋</t>
    </r>
    <rPh sb="0" eb="1">
      <t>フクロ</t>
    </rPh>
    <phoneticPr fontId="1"/>
  </si>
  <si>
    <r>
      <rPr>
        <sz val="10"/>
        <color theme="1"/>
        <rFont val="ＭＳ Ｐゴシック"/>
        <family val="2"/>
        <charset val="128"/>
      </rPr>
      <t>牛乳</t>
    </r>
    <rPh sb="0" eb="2">
      <t>ギュウニュウ</t>
    </rPh>
    <phoneticPr fontId="1"/>
  </si>
  <si>
    <r>
      <rPr>
        <sz val="10"/>
        <color theme="1"/>
        <rFont val="ＭＳ Ｐゴシック"/>
        <family val="2"/>
        <charset val="128"/>
      </rPr>
      <t>個</t>
    </r>
    <rPh sb="0" eb="1">
      <t>コ</t>
    </rPh>
    <phoneticPr fontId="1"/>
  </si>
  <si>
    <t>2（1個１L）</t>
    <rPh sb="3" eb="4">
      <t>コ</t>
    </rPh>
    <phoneticPr fontId="1"/>
  </si>
  <si>
    <t>鶏のひき肉</t>
    <rPh sb="0" eb="1">
      <t>トリ</t>
    </rPh>
    <rPh sb="4" eb="5">
      <t>ニク</t>
    </rPh>
    <phoneticPr fontId="1"/>
  </si>
  <si>
    <t>鶏肉</t>
    <phoneticPr fontId="1"/>
  </si>
  <si>
    <t>10本</t>
    <rPh sb="2" eb="3">
      <t>ホン</t>
    </rPh>
    <phoneticPr fontId="1"/>
  </si>
  <si>
    <t>鶏肉と油揚げの煮物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</si>
</sst>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_ "/>
  </numFmts>
  <fonts count="16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2"/>
      <color theme="1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sz val="18"/>
      <color theme="1"/>
      <name val="HG丸ｺﾞｼｯｸM-PRO"/>
      <family val="3"/>
      <charset val="128"/>
    </font>
    <font>
      <sz val="11"/>
      <color theme="1"/>
      <name val="HG丸ｺﾞｼｯｸM-PRO"/>
      <family val="3"/>
      <charset val="128"/>
    </font>
    <font>
      <b/>
      <sz val="12"/>
      <color theme="1"/>
      <name val="HG丸ｺﾞｼｯｸM-PRO"/>
      <family val="3"/>
      <charset val="128"/>
    </font>
    <font>
      <sz val="16"/>
      <color theme="1"/>
      <name val="ＭＳ Ｐゴシック"/>
      <family val="2"/>
      <charset val="128"/>
    </font>
    <font>
      <u/>
      <sz val="11"/>
      <color theme="10"/>
      <name val="ＭＳ Ｐゴシック"/>
      <family val="2"/>
      <charset val="128"/>
    </font>
    <font>
      <u/>
      <sz val="11"/>
      <color theme="1"/>
      <name val="ＭＳ Ｐゴシック"/>
      <family val="2"/>
      <charset val="128"/>
    </font>
    <font>
      <sz val="12"/>
      <color theme="1"/>
      <name val="Segoe UI"/>
      <family val="2"/>
    </font>
    <font>
      <sz val="12"/>
      <color theme="1"/>
      <name val="ＭＳ ゴシック"/>
      <family val="3"/>
      <charset val="128"/>
    </font>
    <font>
      <sz val="10"/>
      <color theme="1"/>
      <name val="Kosugi Maru"/>
      <family val="2"/>
    </font>
    <font>
      <sz val="10"/>
      <color theme="1"/>
      <name val="Arial"/>
      <family val="2"/>
    </font>
    <font>
      <sz val="10"/>
      <color theme="1"/>
      <name val="ＭＳ Ｐゴシック"/>
      <family val="2"/>
      <charset val="128"/>
    </font>
    <font>
      <sz val="10"/>
      <color theme="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7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0" xfId="0" applyBorder="1">
      <alignment vertical="center"/>
    </xf>
    <xf numFmtId="0" fontId="0" fillId="0" borderId="4" xfId="0" applyFill="1" applyBorder="1">
      <alignment vertical="center"/>
    </xf>
    <xf numFmtId="56" fontId="0" fillId="0" borderId="18" xfId="0" applyNumberFormat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56" fontId="0" fillId="0" borderId="30" xfId="0" applyNumberFormat="1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21" xfId="0" applyBorder="1">
      <alignment vertical="center"/>
    </xf>
    <xf numFmtId="0" fontId="0" fillId="0" borderId="30" xfId="0" applyBorder="1">
      <alignment vertical="center"/>
    </xf>
    <xf numFmtId="0" fontId="0" fillId="0" borderId="0" xfId="0" applyAlignment="1">
      <alignment vertical="center"/>
    </xf>
    <xf numFmtId="0" fontId="0" fillId="0" borderId="38" xfId="0" applyBorder="1" applyAlignment="1">
      <alignment vertical="center"/>
    </xf>
    <xf numFmtId="0" fontId="0" fillId="0" borderId="41" xfId="0" applyBorder="1">
      <alignment vertical="center"/>
    </xf>
    <xf numFmtId="0" fontId="3" fillId="0" borderId="0" xfId="0" applyFont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41" xfId="0" applyBorder="1" applyAlignment="1">
      <alignment vertical="center"/>
    </xf>
    <xf numFmtId="0" fontId="2" fillId="0" borderId="0" xfId="0" applyFont="1">
      <alignment vertical="center"/>
    </xf>
    <xf numFmtId="0" fontId="3" fillId="0" borderId="2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29" xfId="0" applyBorder="1" applyAlignment="1">
      <alignment vertical="center"/>
    </xf>
    <xf numFmtId="0" fontId="0" fillId="5" borderId="29" xfId="0" applyFill="1" applyBorder="1" applyAlignment="1">
      <alignment vertical="center"/>
    </xf>
    <xf numFmtId="0" fontId="0" fillId="5" borderId="1" xfId="0" applyFill="1" applyBorder="1">
      <alignment vertical="center"/>
    </xf>
    <xf numFmtId="0" fontId="0" fillId="5" borderId="9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44" xfId="0" applyBorder="1">
      <alignment vertical="center"/>
    </xf>
    <xf numFmtId="0" fontId="0" fillId="0" borderId="44" xfId="0" applyBorder="1" applyAlignment="1">
      <alignment vertical="center"/>
    </xf>
    <xf numFmtId="0" fontId="0" fillId="0" borderId="44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11" fillId="0" borderId="1" xfId="0" applyFont="1" applyBorder="1" applyAlignment="1">
      <alignment horizontal="left" vertical="center" wrapText="1" indent="1"/>
    </xf>
    <xf numFmtId="0" fontId="10" fillId="0" borderId="1" xfId="0" applyFont="1" applyBorder="1" applyAlignment="1">
      <alignment horizontal="left" vertical="center" wrapText="1" indent="1"/>
    </xf>
    <xf numFmtId="0" fontId="12" fillId="0" borderId="1" xfId="0" applyFont="1" applyFill="1" applyBorder="1" applyAlignment="1">
      <alignment horizontal="center" wrapText="1"/>
    </xf>
    <xf numFmtId="0" fontId="13" fillId="0" borderId="1" xfId="0" applyFont="1" applyFill="1" applyBorder="1" applyAlignment="1">
      <alignment wrapText="1"/>
    </xf>
    <xf numFmtId="0" fontId="9" fillId="0" borderId="4" xfId="1" applyFont="1" applyBorder="1" applyAlignment="1">
      <alignment horizontal="left" vertical="center" wrapText="1" indent="1"/>
    </xf>
    <xf numFmtId="0" fontId="0" fillId="0" borderId="4" xfId="0" applyFill="1" applyBorder="1" applyAlignment="1">
      <alignment vertical="center"/>
    </xf>
    <xf numFmtId="0" fontId="0" fillId="0" borderId="7" xfId="0" applyFill="1" applyBorder="1" applyAlignment="1">
      <alignment vertical="center" wrapText="1"/>
    </xf>
    <xf numFmtId="0" fontId="12" fillId="0" borderId="9" xfId="0" applyFont="1" applyFill="1" applyBorder="1" applyAlignment="1">
      <alignment horizontal="center" wrapText="1"/>
    </xf>
    <xf numFmtId="0" fontId="0" fillId="0" borderId="9" xfId="0" applyFill="1" applyBorder="1">
      <alignment vertical="center"/>
    </xf>
    <xf numFmtId="0" fontId="0" fillId="5" borderId="4" xfId="0" applyFill="1" applyBorder="1" applyAlignment="1">
      <alignment vertical="center"/>
    </xf>
    <xf numFmtId="0" fontId="12" fillId="5" borderId="1" xfId="0" applyFont="1" applyFill="1" applyBorder="1" applyAlignment="1">
      <alignment horizontal="center" wrapText="1"/>
    </xf>
    <xf numFmtId="0" fontId="12" fillId="5" borderId="9" xfId="0" applyFont="1" applyFill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5" borderId="4" xfId="0" applyFont="1" applyFill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2" fillId="0" borderId="0" xfId="0" applyFont="1" applyFill="1" applyBorder="1" applyAlignment="1">
      <alignment horizontal="center" wrapText="1"/>
    </xf>
    <xf numFmtId="0" fontId="0" fillId="5" borderId="1" xfId="0" applyNumberFormat="1" applyFill="1" applyBorder="1">
      <alignment vertical="center"/>
    </xf>
    <xf numFmtId="179" fontId="0" fillId="0" borderId="1" xfId="0" applyNumberFormat="1" applyFill="1" applyBorder="1">
      <alignment vertical="center"/>
    </xf>
    <xf numFmtId="0" fontId="0" fillId="3" borderId="3" xfId="0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wrapText="1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3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0" fillId="0" borderId="5" xfId="0" applyFill="1" applyBorder="1" applyAlignment="1">
      <alignment horizontal="center" vertical="center"/>
    </xf>
    <xf numFmtId="0" fontId="0" fillId="0" borderId="7" xfId="0" applyBorder="1">
      <alignment vertical="center"/>
    </xf>
    <xf numFmtId="0" fontId="13" fillId="5" borderId="1" xfId="0" applyFont="1" applyFill="1" applyBorder="1" applyAlignment="1">
      <alignment wrapText="1"/>
    </xf>
    <xf numFmtId="0" fontId="14" fillId="0" borderId="0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56" fontId="0" fillId="4" borderId="3" xfId="0" applyNumberFormat="1" applyFill="1" applyBorder="1" applyAlignment="1">
      <alignment horizontal="center" vertical="center"/>
    </xf>
    <xf numFmtId="56" fontId="0" fillId="4" borderId="6" xfId="0" applyNumberFormat="1" applyFill="1" applyBorder="1" applyAlignment="1">
      <alignment horizontal="center" vertical="center"/>
    </xf>
    <xf numFmtId="56" fontId="0" fillId="4" borderId="8" xfId="0" applyNumberFormat="1" applyFill="1" applyBorder="1" applyAlignment="1">
      <alignment horizontal="center" vertical="center"/>
    </xf>
    <xf numFmtId="0" fontId="0" fillId="0" borderId="9" xfId="0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15" fillId="0" borderId="4" xfId="0" applyFont="1" applyBorder="1" applyAlignment="1">
      <alignment horizont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elishkitchen.tv/categories/9667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elishkitchen.tv/categories/96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view="pageLayout" topLeftCell="A10" zoomScale="85" zoomScaleNormal="100" zoomScalePageLayoutView="85" workbookViewId="0">
      <selection activeCell="E17" sqref="E17:F17"/>
    </sheetView>
  </sheetViews>
  <sheetFormatPr defaultRowHeight="13.5"/>
  <cols>
    <col min="5" max="5" width="8.875" customWidth="1"/>
    <col min="8" max="8" width="10.125" bestFit="1" customWidth="1"/>
  </cols>
  <sheetData>
    <row r="1" spans="1:10">
      <c r="A1" s="89" t="s">
        <v>102</v>
      </c>
      <c r="B1" s="89"/>
      <c r="C1" s="89"/>
      <c r="D1" s="89"/>
      <c r="E1" s="89"/>
      <c r="F1" s="89"/>
      <c r="G1" s="89"/>
      <c r="H1" s="89"/>
      <c r="I1" s="89"/>
      <c r="J1" s="89"/>
    </row>
    <row r="2" spans="1:10">
      <c r="A2" s="89"/>
      <c r="B2" s="89"/>
      <c r="C2" s="89"/>
      <c r="D2" s="89"/>
      <c r="E2" s="89"/>
      <c r="F2" s="89"/>
      <c r="G2" s="89"/>
      <c r="H2" s="89"/>
      <c r="I2" s="89"/>
      <c r="J2" s="89"/>
    </row>
    <row r="3" spans="1:10">
      <c r="A3" s="89"/>
      <c r="B3" s="89"/>
      <c r="C3" s="89"/>
      <c r="D3" s="89"/>
      <c r="E3" s="89"/>
      <c r="F3" s="89"/>
      <c r="G3" s="89"/>
      <c r="H3" s="89"/>
      <c r="I3" s="89"/>
      <c r="J3" s="89"/>
    </row>
    <row r="5" spans="1:10" ht="14.25" thickBot="1">
      <c r="C5" s="90" t="s">
        <v>49</v>
      </c>
      <c r="D5" s="90"/>
      <c r="E5" s="90" t="s">
        <v>103</v>
      </c>
      <c r="F5" s="90"/>
      <c r="H5" s="14" t="s">
        <v>50</v>
      </c>
      <c r="I5" s="90" t="s">
        <v>104</v>
      </c>
      <c r="J5" s="90"/>
    </row>
    <row r="6" spans="1:10" ht="15" thickTop="1" thickBot="1">
      <c r="H6" s="13"/>
      <c r="I6" s="13"/>
      <c r="J6" s="13"/>
    </row>
    <row r="7" spans="1:10" ht="14.25">
      <c r="A7" s="91" t="s">
        <v>62</v>
      </c>
      <c r="B7" s="92"/>
      <c r="C7" s="44"/>
      <c r="D7" s="44"/>
      <c r="E7" s="44"/>
      <c r="F7" s="44"/>
      <c r="G7" s="44"/>
      <c r="H7" s="45"/>
      <c r="I7" s="46"/>
      <c r="J7" s="46"/>
    </row>
    <row r="8" spans="1:10" ht="21.6" customHeight="1">
      <c r="A8" s="21" t="s">
        <v>63</v>
      </c>
      <c r="H8" s="18"/>
      <c r="I8" s="19"/>
      <c r="J8" s="19"/>
    </row>
    <row r="9" spans="1:10" ht="20.45" customHeight="1">
      <c r="A9" s="21" t="s">
        <v>64</v>
      </c>
      <c r="H9" s="18"/>
      <c r="I9" s="19"/>
      <c r="J9" s="19"/>
    </row>
    <row r="10" spans="1:10" ht="23.1" customHeight="1">
      <c r="A10" s="21" t="s">
        <v>98</v>
      </c>
    </row>
    <row r="11" spans="1:10" ht="21.6" customHeight="1">
      <c r="A11" s="21" t="s">
        <v>65</v>
      </c>
    </row>
    <row r="12" spans="1:10" ht="21.6" customHeight="1" thickBot="1">
      <c r="A12" s="21" t="s">
        <v>66</v>
      </c>
    </row>
    <row r="13" spans="1:10">
      <c r="A13" s="85" t="s">
        <v>51</v>
      </c>
      <c r="B13" s="86"/>
      <c r="C13" s="3"/>
      <c r="D13" s="3"/>
      <c r="E13" s="3"/>
      <c r="F13" s="3"/>
      <c r="G13" s="3"/>
      <c r="H13" s="3"/>
      <c r="I13" s="3"/>
      <c r="J13" s="3"/>
    </row>
    <row r="14" spans="1:10" ht="14.25" thickBot="1">
      <c r="A14" s="87"/>
      <c r="B14" s="88"/>
      <c r="C14" s="15"/>
      <c r="D14" s="15"/>
      <c r="E14" s="15"/>
      <c r="F14" s="15"/>
      <c r="G14" s="15"/>
      <c r="H14" s="15"/>
      <c r="I14" s="15"/>
      <c r="J14" s="15"/>
    </row>
    <row r="15" spans="1:10" ht="14.25" thickBot="1"/>
    <row r="16" spans="1:10" ht="23.1" customHeight="1" thickBot="1">
      <c r="A16" s="22" t="s">
        <v>57</v>
      </c>
      <c r="B16" s="16" t="s">
        <v>56</v>
      </c>
      <c r="C16" s="82" t="s">
        <v>52</v>
      </c>
      <c r="D16" s="82"/>
      <c r="E16" s="82" t="s">
        <v>53</v>
      </c>
      <c r="F16" s="82"/>
      <c r="G16" s="82" t="s">
        <v>55</v>
      </c>
      <c r="H16" s="82"/>
      <c r="I16" s="82" t="s">
        <v>54</v>
      </c>
      <c r="J16" s="82"/>
    </row>
    <row r="17" spans="1:10" ht="33.950000000000003" customHeight="1" thickBot="1">
      <c r="A17" s="29" t="s">
        <v>58</v>
      </c>
      <c r="B17" s="32" t="s">
        <v>106</v>
      </c>
      <c r="C17" s="83" t="s">
        <v>111</v>
      </c>
      <c r="D17" s="83"/>
      <c r="E17" s="83" t="s">
        <v>113</v>
      </c>
      <c r="F17" s="83"/>
      <c r="G17" s="83" t="s">
        <v>112</v>
      </c>
      <c r="H17" s="83"/>
      <c r="I17" s="83"/>
      <c r="J17" s="84"/>
    </row>
    <row r="18" spans="1:10" ht="33.950000000000003" customHeight="1">
      <c r="A18" s="24" t="s">
        <v>67</v>
      </c>
      <c r="B18" s="33" t="s">
        <v>106</v>
      </c>
      <c r="C18" s="77" t="s">
        <v>118</v>
      </c>
      <c r="D18" s="77"/>
      <c r="E18" s="78" t="s">
        <v>120</v>
      </c>
      <c r="F18" s="78"/>
      <c r="G18" s="77" t="s">
        <v>119</v>
      </c>
      <c r="H18" s="77"/>
      <c r="I18" s="77"/>
      <c r="J18" s="79"/>
    </row>
    <row r="19" spans="1:10" ht="33.950000000000003" customHeight="1">
      <c r="A19" s="26" t="s">
        <v>73</v>
      </c>
      <c r="B19" s="34" t="s">
        <v>108</v>
      </c>
      <c r="C19" s="80" t="s">
        <v>107</v>
      </c>
      <c r="D19" s="80"/>
      <c r="E19" s="80" t="s">
        <v>121</v>
      </c>
      <c r="F19" s="80"/>
      <c r="G19" s="80"/>
      <c r="H19" s="80"/>
      <c r="I19" s="80"/>
      <c r="J19" s="81"/>
    </row>
    <row r="20" spans="1:10" ht="33.950000000000003" customHeight="1" thickBot="1">
      <c r="A20" s="27" t="s">
        <v>77</v>
      </c>
      <c r="B20" s="35" t="s">
        <v>106</v>
      </c>
      <c r="C20" s="71" t="s">
        <v>105</v>
      </c>
      <c r="D20" s="72"/>
      <c r="E20" s="72" t="s">
        <v>109</v>
      </c>
      <c r="F20" s="72"/>
      <c r="G20" s="72"/>
      <c r="H20" s="72"/>
      <c r="I20" s="72" t="s">
        <v>116</v>
      </c>
      <c r="J20" s="73"/>
    </row>
    <row r="21" spans="1:10" ht="33.950000000000003" customHeight="1">
      <c r="A21" s="24" t="s">
        <v>80</v>
      </c>
      <c r="B21" s="33" t="s">
        <v>115</v>
      </c>
      <c r="C21" s="77" t="s">
        <v>117</v>
      </c>
      <c r="D21" s="77"/>
      <c r="E21" s="78"/>
      <c r="F21" s="78"/>
      <c r="G21" s="78" t="s">
        <v>114</v>
      </c>
      <c r="H21" s="77"/>
      <c r="I21" s="77"/>
      <c r="J21" s="79"/>
    </row>
    <row r="22" spans="1:10" ht="33.950000000000003" customHeight="1">
      <c r="A22" s="26" t="s">
        <v>81</v>
      </c>
      <c r="B22" s="34" t="s">
        <v>108</v>
      </c>
      <c r="C22" s="80" t="s">
        <v>110</v>
      </c>
      <c r="D22" s="80"/>
      <c r="E22" s="80"/>
      <c r="F22" s="80"/>
      <c r="G22" s="80"/>
      <c r="H22" s="80"/>
      <c r="I22" s="80"/>
      <c r="J22" s="81"/>
    </row>
    <row r="23" spans="1:10" ht="33.950000000000003" customHeight="1" thickBot="1">
      <c r="A23" s="27" t="s">
        <v>82</v>
      </c>
      <c r="B23" s="35"/>
      <c r="C23" s="71"/>
      <c r="D23" s="72"/>
      <c r="E23" s="72"/>
      <c r="F23" s="72"/>
      <c r="G23" s="72"/>
      <c r="H23" s="72"/>
      <c r="I23" s="72"/>
      <c r="J23" s="73"/>
    </row>
    <row r="24" spans="1:10" ht="33.950000000000003" customHeight="1">
      <c r="A24" s="24" t="s">
        <v>85</v>
      </c>
      <c r="B24" s="33"/>
      <c r="C24" s="77"/>
      <c r="D24" s="77"/>
      <c r="E24" s="78"/>
      <c r="F24" s="78"/>
      <c r="G24" s="77"/>
      <c r="H24" s="77"/>
      <c r="I24" s="77"/>
      <c r="J24" s="79"/>
    </row>
    <row r="25" spans="1:10" ht="33.950000000000003" customHeight="1">
      <c r="A25" s="26" t="s">
        <v>90</v>
      </c>
      <c r="B25" s="34"/>
      <c r="C25" s="80"/>
      <c r="D25" s="80"/>
      <c r="E25" s="80"/>
      <c r="F25" s="80"/>
      <c r="G25" s="80"/>
      <c r="H25" s="80"/>
      <c r="I25" s="80"/>
      <c r="J25" s="81"/>
    </row>
    <row r="26" spans="1:10" ht="33.950000000000003" customHeight="1" thickBot="1">
      <c r="A26" s="27" t="s">
        <v>91</v>
      </c>
      <c r="B26" s="35"/>
      <c r="C26" s="71"/>
      <c r="D26" s="72"/>
      <c r="E26" s="72"/>
      <c r="F26" s="72"/>
      <c r="G26" s="72"/>
      <c r="H26" s="72"/>
      <c r="I26" s="72"/>
      <c r="J26" s="73"/>
    </row>
    <row r="27" spans="1:10" ht="33.950000000000003" customHeight="1">
      <c r="A27" s="24" t="s">
        <v>92</v>
      </c>
      <c r="B27" s="25"/>
      <c r="C27" s="74"/>
      <c r="D27" s="74"/>
      <c r="E27" s="75"/>
      <c r="F27" s="75"/>
      <c r="G27" s="75"/>
      <c r="H27" s="74"/>
      <c r="I27" s="74"/>
      <c r="J27" s="76"/>
    </row>
    <row r="28" spans="1:10" ht="33.950000000000003" customHeight="1">
      <c r="A28" s="26" t="s">
        <v>93</v>
      </c>
      <c r="B28" s="23"/>
      <c r="C28" s="69"/>
      <c r="D28" s="69"/>
      <c r="E28" s="69"/>
      <c r="F28" s="69"/>
      <c r="G28" s="69"/>
      <c r="H28" s="69"/>
      <c r="I28" s="69"/>
      <c r="J28" s="70"/>
    </row>
    <row r="29" spans="1:10" ht="33" customHeight="1" thickBot="1">
      <c r="A29" s="27" t="s">
        <v>94</v>
      </c>
      <c r="B29" s="28"/>
      <c r="C29" s="66"/>
      <c r="D29" s="67"/>
      <c r="E29" s="67"/>
      <c r="F29" s="67"/>
      <c r="G29" s="67"/>
      <c r="H29" s="67"/>
      <c r="I29" s="67"/>
      <c r="J29" s="68"/>
    </row>
    <row r="30" spans="1:10" ht="33.950000000000003" customHeight="1" thickBot="1">
      <c r="A30" s="31" t="s">
        <v>95</v>
      </c>
      <c r="B30" s="28"/>
      <c r="C30" s="66"/>
      <c r="D30" s="67"/>
      <c r="E30" s="67"/>
      <c r="F30" s="67"/>
      <c r="G30" s="67"/>
      <c r="H30" s="67"/>
      <c r="I30" s="67"/>
      <c r="J30" s="68"/>
    </row>
    <row r="31" spans="1:10" ht="33.950000000000003" customHeight="1" thickBot="1">
      <c r="A31" s="31" t="s">
        <v>101</v>
      </c>
      <c r="B31" s="36"/>
      <c r="C31" s="66"/>
      <c r="D31" s="67"/>
      <c r="E31" s="67"/>
      <c r="F31" s="67"/>
      <c r="G31" s="67"/>
      <c r="H31" s="67"/>
      <c r="I31" s="67"/>
      <c r="J31" s="68"/>
    </row>
  </sheetData>
  <mergeCells count="70">
    <mergeCell ref="A13:B14"/>
    <mergeCell ref="A1:J3"/>
    <mergeCell ref="C5:D5"/>
    <mergeCell ref="E5:F5"/>
    <mergeCell ref="I5:J5"/>
    <mergeCell ref="A7:B7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C19:D19"/>
    <mergeCell ref="E19:F19"/>
    <mergeCell ref="G19:H19"/>
    <mergeCell ref="I19:J19"/>
    <mergeCell ref="C20:D20"/>
    <mergeCell ref="E20:F20"/>
    <mergeCell ref="G20:H20"/>
    <mergeCell ref="I20:J20"/>
    <mergeCell ref="C21:D21"/>
    <mergeCell ref="E21:F21"/>
    <mergeCell ref="G21:H21"/>
    <mergeCell ref="I21:J21"/>
    <mergeCell ref="C22:D22"/>
    <mergeCell ref="E22:F22"/>
    <mergeCell ref="G22:H22"/>
    <mergeCell ref="I22:J22"/>
    <mergeCell ref="C23:D23"/>
    <mergeCell ref="E23:F23"/>
    <mergeCell ref="G23:H23"/>
    <mergeCell ref="I23:J23"/>
    <mergeCell ref="C24:D24"/>
    <mergeCell ref="E24:F24"/>
    <mergeCell ref="G24:H24"/>
    <mergeCell ref="I24:J24"/>
    <mergeCell ref="C25:D25"/>
    <mergeCell ref="E25:F25"/>
    <mergeCell ref="G25:H25"/>
    <mergeCell ref="I25:J25"/>
    <mergeCell ref="C26:D26"/>
    <mergeCell ref="E26:F26"/>
    <mergeCell ref="G26:H26"/>
    <mergeCell ref="I26:J26"/>
    <mergeCell ref="C27:D27"/>
    <mergeCell ref="E27:F27"/>
    <mergeCell ref="G27:H27"/>
    <mergeCell ref="I27:J27"/>
    <mergeCell ref="C28:D28"/>
    <mergeCell ref="E28:F28"/>
    <mergeCell ref="G28:H28"/>
    <mergeCell ref="I28:J28"/>
    <mergeCell ref="C29:D29"/>
    <mergeCell ref="E29:F29"/>
    <mergeCell ref="G29:H29"/>
    <mergeCell ref="I29:J29"/>
    <mergeCell ref="C31:D31"/>
    <mergeCell ref="E31:F31"/>
    <mergeCell ref="G31:H31"/>
    <mergeCell ref="I31:J31"/>
    <mergeCell ref="C30:D30"/>
    <mergeCell ref="E30:F30"/>
    <mergeCell ref="G30:H30"/>
    <mergeCell ref="I30:J30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view="pageLayout" topLeftCell="A31" zoomScale="90" zoomScaleNormal="100" zoomScalePageLayoutView="90" workbookViewId="0">
      <selection activeCell="A18" sqref="A18"/>
    </sheetView>
  </sheetViews>
  <sheetFormatPr defaultRowHeight="13.5"/>
  <cols>
    <col min="5" max="5" width="8.875" customWidth="1"/>
    <col min="8" max="8" width="10.125" bestFit="1" customWidth="1"/>
  </cols>
  <sheetData>
    <row r="1" spans="1:10">
      <c r="A1" s="89" t="s">
        <v>97</v>
      </c>
      <c r="B1" s="89"/>
      <c r="C1" s="89"/>
      <c r="D1" s="89"/>
      <c r="E1" s="89"/>
      <c r="F1" s="89"/>
      <c r="G1" s="89"/>
      <c r="H1" s="89"/>
      <c r="I1" s="89"/>
      <c r="J1" s="89"/>
    </row>
    <row r="2" spans="1:10">
      <c r="A2" s="89"/>
      <c r="B2" s="89"/>
      <c r="C2" s="89"/>
      <c r="D2" s="89"/>
      <c r="E2" s="89"/>
      <c r="F2" s="89"/>
      <c r="G2" s="89"/>
      <c r="H2" s="89"/>
      <c r="I2" s="89"/>
      <c r="J2" s="89"/>
    </row>
    <row r="3" spans="1:10">
      <c r="A3" s="89"/>
      <c r="B3" s="89"/>
      <c r="C3" s="89"/>
      <c r="D3" s="89"/>
      <c r="E3" s="89"/>
      <c r="F3" s="89"/>
      <c r="G3" s="89"/>
      <c r="H3" s="89"/>
      <c r="I3" s="89"/>
      <c r="J3" s="89"/>
    </row>
    <row r="5" spans="1:10" ht="14.25" thickBot="1">
      <c r="C5" s="90" t="s">
        <v>49</v>
      </c>
      <c r="D5" s="90"/>
      <c r="E5" s="90"/>
      <c r="F5" s="90"/>
      <c r="H5" s="14" t="s">
        <v>50</v>
      </c>
      <c r="I5" s="90"/>
      <c r="J5" s="90"/>
    </row>
    <row r="6" spans="1:10" ht="15" thickTop="1" thickBot="1">
      <c r="H6" s="13"/>
      <c r="I6" s="13"/>
      <c r="J6" s="13"/>
    </row>
    <row r="7" spans="1:10">
      <c r="A7" s="85" t="s">
        <v>62</v>
      </c>
      <c r="B7" s="86"/>
      <c r="C7" s="3"/>
      <c r="D7" s="3"/>
      <c r="E7" s="3"/>
      <c r="F7" s="3"/>
      <c r="G7" s="3"/>
      <c r="H7" s="18"/>
      <c r="I7" s="19"/>
      <c r="J7" s="19"/>
    </row>
    <row r="8" spans="1:10" ht="14.25" thickBot="1">
      <c r="A8" s="87"/>
      <c r="B8" s="88"/>
      <c r="C8" s="15"/>
      <c r="D8" s="15"/>
      <c r="E8" s="15"/>
      <c r="F8" s="15"/>
      <c r="G8" s="15"/>
      <c r="H8" s="20"/>
      <c r="I8" s="17"/>
      <c r="J8" s="17"/>
    </row>
    <row r="9" spans="1:10" ht="21.6" customHeight="1">
      <c r="A9" s="21" t="s">
        <v>63</v>
      </c>
      <c r="H9" s="18"/>
      <c r="I9" s="19"/>
      <c r="J9" s="19"/>
    </row>
    <row r="10" spans="1:10" ht="20.45" customHeight="1">
      <c r="A10" s="21" t="s">
        <v>64</v>
      </c>
      <c r="H10" s="18"/>
      <c r="I10" s="19"/>
      <c r="J10" s="19"/>
    </row>
    <row r="11" spans="1:10" ht="23.1" customHeight="1">
      <c r="A11" s="21" t="s">
        <v>65</v>
      </c>
    </row>
    <row r="12" spans="1:10" ht="21.6" customHeight="1">
      <c r="A12" s="21" t="s">
        <v>66</v>
      </c>
    </row>
    <row r="13" spans="1:10" ht="21.6" customHeight="1" thickBot="1">
      <c r="A13" s="21"/>
    </row>
    <row r="14" spans="1:10">
      <c r="A14" s="85" t="s">
        <v>51</v>
      </c>
      <c r="B14" s="86"/>
      <c r="C14" s="3"/>
      <c r="D14" s="3"/>
      <c r="E14" s="3"/>
      <c r="F14" s="3"/>
      <c r="G14" s="3"/>
      <c r="H14" s="3"/>
      <c r="I14" s="3"/>
      <c r="J14" s="3"/>
    </row>
    <row r="15" spans="1:10" ht="14.25" thickBot="1">
      <c r="A15" s="87"/>
      <c r="B15" s="88"/>
      <c r="C15" s="15"/>
      <c r="D15" s="15"/>
      <c r="E15" s="15"/>
      <c r="F15" s="15"/>
      <c r="G15" s="15"/>
      <c r="H15" s="15"/>
      <c r="I15" s="15"/>
      <c r="J15" s="15"/>
    </row>
    <row r="16" spans="1:10" ht="14.25" thickBot="1"/>
    <row r="17" spans="1:10" ht="23.1" customHeight="1" thickBot="1">
      <c r="A17" s="22" t="s">
        <v>57</v>
      </c>
      <c r="B17" s="16" t="s">
        <v>56</v>
      </c>
      <c r="C17" s="82" t="s">
        <v>52</v>
      </c>
      <c r="D17" s="82"/>
      <c r="E17" s="82" t="s">
        <v>53</v>
      </c>
      <c r="F17" s="82"/>
      <c r="G17" s="82" t="s">
        <v>55</v>
      </c>
      <c r="H17" s="82"/>
      <c r="I17" s="82" t="s">
        <v>54</v>
      </c>
      <c r="J17" s="82"/>
    </row>
    <row r="18" spans="1:10" ht="33.950000000000003" customHeight="1" thickBot="1">
      <c r="A18" s="29" t="s">
        <v>58</v>
      </c>
      <c r="B18" s="30" t="s">
        <v>34</v>
      </c>
      <c r="C18" s="97" t="s">
        <v>59</v>
      </c>
      <c r="D18" s="97"/>
      <c r="E18" s="97" t="s">
        <v>60</v>
      </c>
      <c r="F18" s="97"/>
      <c r="G18" s="97"/>
      <c r="H18" s="97"/>
      <c r="I18" s="97" t="s">
        <v>61</v>
      </c>
      <c r="J18" s="98"/>
    </row>
    <row r="19" spans="1:10" ht="38.1" customHeight="1">
      <c r="A19" s="24" t="s">
        <v>67</v>
      </c>
      <c r="B19" s="25" t="s">
        <v>68</v>
      </c>
      <c r="C19" s="74" t="s">
        <v>69</v>
      </c>
      <c r="D19" s="74"/>
      <c r="E19" s="93" t="s">
        <v>70</v>
      </c>
      <c r="F19" s="93"/>
      <c r="G19" s="74" t="s">
        <v>71</v>
      </c>
      <c r="H19" s="74"/>
      <c r="I19" s="74" t="s">
        <v>72</v>
      </c>
      <c r="J19" s="76"/>
    </row>
    <row r="20" spans="1:10" ht="33.950000000000003" customHeight="1">
      <c r="A20" s="26" t="s">
        <v>73</v>
      </c>
      <c r="B20" s="23" t="s">
        <v>74</v>
      </c>
      <c r="C20" s="69" t="s">
        <v>75</v>
      </c>
      <c r="D20" s="69"/>
      <c r="E20" s="69" t="s">
        <v>76</v>
      </c>
      <c r="F20" s="69"/>
      <c r="G20" s="69"/>
      <c r="H20" s="69"/>
      <c r="I20" s="69"/>
      <c r="J20" s="70"/>
    </row>
    <row r="21" spans="1:10" ht="33.950000000000003" customHeight="1" thickBot="1">
      <c r="A21" s="27" t="s">
        <v>77</v>
      </c>
      <c r="B21" s="28" t="s">
        <v>34</v>
      </c>
      <c r="C21" s="66" t="s">
        <v>78</v>
      </c>
      <c r="D21" s="67"/>
      <c r="E21" s="67"/>
      <c r="F21" s="67"/>
      <c r="G21" s="67" t="s">
        <v>79</v>
      </c>
      <c r="H21" s="67"/>
      <c r="I21" s="67" t="s">
        <v>30</v>
      </c>
      <c r="J21" s="68"/>
    </row>
    <row r="22" spans="1:10" ht="33.950000000000003" customHeight="1">
      <c r="A22" s="24" t="s">
        <v>80</v>
      </c>
      <c r="B22" s="25" t="s">
        <v>34</v>
      </c>
      <c r="C22" s="94" t="s">
        <v>37</v>
      </c>
      <c r="D22" s="94"/>
      <c r="E22" s="75" t="s">
        <v>38</v>
      </c>
      <c r="F22" s="75"/>
      <c r="G22" s="75" t="s">
        <v>89</v>
      </c>
      <c r="H22" s="74"/>
      <c r="I22" s="74" t="s">
        <v>83</v>
      </c>
      <c r="J22" s="76"/>
    </row>
    <row r="23" spans="1:10" ht="33.950000000000003" customHeight="1">
      <c r="A23" s="26" t="s">
        <v>81</v>
      </c>
      <c r="B23" s="23" t="s">
        <v>74</v>
      </c>
      <c r="C23" s="69" t="s">
        <v>42</v>
      </c>
      <c r="D23" s="69"/>
      <c r="E23" s="69"/>
      <c r="F23" s="69"/>
      <c r="G23" s="69"/>
      <c r="H23" s="69"/>
      <c r="I23" s="69" t="s">
        <v>44</v>
      </c>
      <c r="J23" s="70"/>
    </row>
    <row r="24" spans="1:10" ht="33.950000000000003" customHeight="1" thickBot="1">
      <c r="A24" s="27" t="s">
        <v>82</v>
      </c>
      <c r="B24" s="28" t="s">
        <v>34</v>
      </c>
      <c r="C24" s="95" t="s">
        <v>84</v>
      </c>
      <c r="D24" s="96"/>
      <c r="E24" s="67"/>
      <c r="F24" s="67"/>
      <c r="G24" s="67" t="s">
        <v>45</v>
      </c>
      <c r="H24" s="67"/>
      <c r="I24" s="67" t="s">
        <v>47</v>
      </c>
      <c r="J24" s="68"/>
    </row>
    <row r="25" spans="1:10" ht="33.950000000000003" customHeight="1">
      <c r="A25" s="24" t="s">
        <v>85</v>
      </c>
      <c r="B25" s="25" t="s">
        <v>68</v>
      </c>
      <c r="C25" s="74" t="s">
        <v>86</v>
      </c>
      <c r="D25" s="74"/>
      <c r="E25" s="75" t="s">
        <v>87</v>
      </c>
      <c r="F25" s="75"/>
      <c r="G25" s="74" t="s">
        <v>88</v>
      </c>
      <c r="H25" s="74"/>
      <c r="I25" s="74" t="s">
        <v>48</v>
      </c>
      <c r="J25" s="76"/>
    </row>
    <row r="26" spans="1:10" ht="33.950000000000003" customHeight="1">
      <c r="A26" s="26" t="s">
        <v>90</v>
      </c>
      <c r="B26" s="23" t="s">
        <v>96</v>
      </c>
      <c r="C26" s="69"/>
      <c r="D26" s="69"/>
      <c r="E26" s="69"/>
      <c r="F26" s="69"/>
      <c r="G26" s="69"/>
      <c r="H26" s="69"/>
      <c r="I26" s="69"/>
      <c r="J26" s="70"/>
    </row>
    <row r="27" spans="1:10" ht="33.950000000000003" customHeight="1" thickBot="1">
      <c r="A27" s="27" t="s">
        <v>91</v>
      </c>
      <c r="B27" s="28"/>
      <c r="C27" s="66"/>
      <c r="D27" s="67"/>
      <c r="E27" s="67"/>
      <c r="F27" s="67"/>
      <c r="G27" s="67"/>
      <c r="H27" s="67"/>
      <c r="I27" s="67"/>
      <c r="J27" s="68"/>
    </row>
    <row r="28" spans="1:10" ht="33.950000000000003" customHeight="1">
      <c r="A28" s="24" t="s">
        <v>92</v>
      </c>
      <c r="B28" s="25"/>
      <c r="C28" s="74"/>
      <c r="D28" s="74"/>
      <c r="E28" s="75"/>
      <c r="F28" s="75"/>
      <c r="G28" s="75"/>
      <c r="H28" s="74"/>
      <c r="I28" s="74"/>
      <c r="J28" s="76"/>
    </row>
    <row r="29" spans="1:10" ht="33.950000000000003" customHeight="1">
      <c r="A29" s="26" t="s">
        <v>93</v>
      </c>
      <c r="B29" s="23"/>
      <c r="C29" s="69"/>
      <c r="D29" s="69"/>
      <c r="E29" s="69"/>
      <c r="F29" s="69"/>
      <c r="G29" s="69"/>
      <c r="H29" s="69"/>
      <c r="I29" s="69"/>
      <c r="J29" s="70"/>
    </row>
    <row r="30" spans="1:10" ht="33" customHeight="1" thickBot="1">
      <c r="A30" s="27" t="s">
        <v>94</v>
      </c>
      <c r="B30" s="28"/>
      <c r="C30" s="66"/>
      <c r="D30" s="67"/>
      <c r="E30" s="67"/>
      <c r="F30" s="67"/>
      <c r="G30" s="67"/>
      <c r="H30" s="67"/>
      <c r="I30" s="67"/>
      <c r="J30" s="68"/>
    </row>
    <row r="31" spans="1:10" ht="33.950000000000003" customHeight="1" thickBot="1">
      <c r="A31" s="31" t="s">
        <v>95</v>
      </c>
      <c r="B31" s="28"/>
      <c r="C31" s="66"/>
      <c r="D31" s="67"/>
      <c r="E31" s="67"/>
      <c r="F31" s="67"/>
      <c r="G31" s="67"/>
      <c r="H31" s="67"/>
      <c r="I31" s="67"/>
      <c r="J31" s="68"/>
    </row>
    <row r="32" spans="1:10" ht="33.950000000000003" customHeight="1"/>
  </sheetData>
  <mergeCells count="66">
    <mergeCell ref="A1:J3"/>
    <mergeCell ref="E5:F5"/>
    <mergeCell ref="I5:J5"/>
    <mergeCell ref="A14:B15"/>
    <mergeCell ref="C5:D5"/>
    <mergeCell ref="A7:B8"/>
    <mergeCell ref="C18:D18"/>
    <mergeCell ref="E18:F18"/>
    <mergeCell ref="G18:H18"/>
    <mergeCell ref="I18:J18"/>
    <mergeCell ref="G17:H17"/>
    <mergeCell ref="I17:J17"/>
    <mergeCell ref="C17:D17"/>
    <mergeCell ref="E17:F17"/>
    <mergeCell ref="C21:D21"/>
    <mergeCell ref="E21:F21"/>
    <mergeCell ref="C26:D26"/>
    <mergeCell ref="E26:F26"/>
    <mergeCell ref="G26:H26"/>
    <mergeCell ref="C23:D23"/>
    <mergeCell ref="E23:F23"/>
    <mergeCell ref="G23:H23"/>
    <mergeCell ref="C22:D22"/>
    <mergeCell ref="G22:H22"/>
    <mergeCell ref="E22:F22"/>
    <mergeCell ref="C25:D25"/>
    <mergeCell ref="E25:F25"/>
    <mergeCell ref="G25:H25"/>
    <mergeCell ref="C24:D24"/>
    <mergeCell ref="E24:F24"/>
    <mergeCell ref="I26:J26"/>
    <mergeCell ref="E19:F19"/>
    <mergeCell ref="I25:J25"/>
    <mergeCell ref="I24:J24"/>
    <mergeCell ref="I23:J23"/>
    <mergeCell ref="I22:J22"/>
    <mergeCell ref="G21:H21"/>
    <mergeCell ref="I21:J21"/>
    <mergeCell ref="G24:H24"/>
    <mergeCell ref="G19:H19"/>
    <mergeCell ref="I19:J19"/>
    <mergeCell ref="C20:D20"/>
    <mergeCell ref="E20:F20"/>
    <mergeCell ref="G20:H20"/>
    <mergeCell ref="I20:J20"/>
    <mergeCell ref="C19:D19"/>
    <mergeCell ref="C27:D27"/>
    <mergeCell ref="E27:F27"/>
    <mergeCell ref="G27:H27"/>
    <mergeCell ref="I27:J27"/>
    <mergeCell ref="C28:D28"/>
    <mergeCell ref="E28:F28"/>
    <mergeCell ref="G28:H28"/>
    <mergeCell ref="I28:J28"/>
    <mergeCell ref="C31:D31"/>
    <mergeCell ref="E31:F31"/>
    <mergeCell ref="G31:H31"/>
    <mergeCell ref="I31:J31"/>
    <mergeCell ref="C29:D29"/>
    <mergeCell ref="E29:F29"/>
    <mergeCell ref="G29:H29"/>
    <mergeCell ref="I29:J29"/>
    <mergeCell ref="C30:D30"/>
    <mergeCell ref="E30:F30"/>
    <mergeCell ref="G30:H30"/>
    <mergeCell ref="I30:J30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61"/>
  <sheetViews>
    <sheetView zoomScale="63" workbookViewId="0">
      <selection activeCell="D22" sqref="D22:D27"/>
    </sheetView>
  </sheetViews>
  <sheetFormatPr defaultRowHeight="13.5"/>
  <cols>
    <col min="2" max="2" width="12.125" bestFit="1" customWidth="1"/>
    <col min="3" max="3" width="31.25" customWidth="1"/>
    <col min="4" max="4" width="66" customWidth="1"/>
  </cols>
  <sheetData>
    <row r="1" spans="2:4" ht="14.25" thickBot="1"/>
    <row r="2" spans="2:4" ht="14.25" thickBot="1">
      <c r="B2" s="5">
        <v>45502</v>
      </c>
      <c r="C2" s="6" t="s">
        <v>8</v>
      </c>
      <c r="D2" s="7" t="s">
        <v>7</v>
      </c>
    </row>
    <row r="3" spans="2:4" ht="14.25" thickBot="1">
      <c r="B3" s="113" t="s">
        <v>2</v>
      </c>
      <c r="C3" s="12" t="s">
        <v>34</v>
      </c>
      <c r="D3" s="10"/>
    </row>
    <row r="4" spans="2:4">
      <c r="B4" s="114"/>
      <c r="C4" s="116" t="s">
        <v>35</v>
      </c>
      <c r="D4" s="108" t="s">
        <v>13</v>
      </c>
    </row>
    <row r="5" spans="2:4">
      <c r="B5" s="114"/>
      <c r="C5" s="116"/>
      <c r="D5" s="106"/>
    </row>
    <row r="6" spans="2:4">
      <c r="B6" s="114"/>
      <c r="C6" s="116"/>
      <c r="D6" s="106"/>
    </row>
    <row r="7" spans="2:4">
      <c r="B7" s="114"/>
      <c r="C7" s="116"/>
      <c r="D7" s="106"/>
    </row>
    <row r="8" spans="2:4">
      <c r="B8" s="114"/>
      <c r="C8" s="116"/>
      <c r="D8" s="106"/>
    </row>
    <row r="9" spans="2:4">
      <c r="B9" s="114"/>
      <c r="C9" s="116"/>
      <c r="D9" s="106"/>
    </row>
    <row r="10" spans="2:4">
      <c r="B10" s="114"/>
      <c r="C10" s="109"/>
      <c r="D10" s="106"/>
    </row>
    <row r="11" spans="2:4">
      <c r="B11" s="114"/>
      <c r="C11" s="117" t="s">
        <v>15</v>
      </c>
      <c r="D11" s="106"/>
    </row>
    <row r="12" spans="2:4" ht="14.25" thickBot="1">
      <c r="B12" s="115"/>
      <c r="C12" s="118"/>
      <c r="D12" s="107"/>
    </row>
    <row r="14" spans="2:4" ht="14.25" thickBot="1"/>
    <row r="15" spans="2:4" ht="14.25" thickBot="1">
      <c r="B15" s="8">
        <v>45503</v>
      </c>
      <c r="C15" s="9" t="s">
        <v>8</v>
      </c>
      <c r="D15" s="10" t="s">
        <v>7</v>
      </c>
    </row>
    <row r="16" spans="2:4" ht="17.100000000000001" customHeight="1">
      <c r="B16" s="128" t="s">
        <v>0</v>
      </c>
      <c r="C16" s="109" t="s">
        <v>16</v>
      </c>
      <c r="D16" s="108" t="s">
        <v>19</v>
      </c>
    </row>
    <row r="17" spans="2:4">
      <c r="B17" s="129"/>
      <c r="C17" s="127"/>
      <c r="D17" s="106"/>
    </row>
    <row r="18" spans="2:4">
      <c r="B18" s="129"/>
      <c r="C18" s="127"/>
      <c r="D18" s="106"/>
    </row>
    <row r="19" spans="2:4" ht="19.5" customHeight="1">
      <c r="B19" s="129"/>
      <c r="C19" s="127"/>
      <c r="D19" s="106"/>
    </row>
    <row r="20" spans="2:4" ht="15" customHeight="1">
      <c r="B20" s="129"/>
      <c r="C20" s="127"/>
      <c r="D20" s="106"/>
    </row>
    <row r="21" spans="2:4" ht="14.25" thickBot="1">
      <c r="B21" s="129"/>
      <c r="C21" s="110"/>
      <c r="D21" s="107"/>
    </row>
    <row r="22" spans="2:4">
      <c r="B22" s="129"/>
      <c r="C22" s="122" t="s">
        <v>20</v>
      </c>
      <c r="D22" s="123" t="s">
        <v>21</v>
      </c>
    </row>
    <row r="23" spans="2:4">
      <c r="B23" s="129"/>
      <c r="C23" s="116"/>
      <c r="D23" s="124"/>
    </row>
    <row r="24" spans="2:4">
      <c r="B24" s="129"/>
      <c r="C24" s="116"/>
      <c r="D24" s="124"/>
    </row>
    <row r="25" spans="2:4">
      <c r="B25" s="129"/>
      <c r="C25" s="116"/>
      <c r="D25" s="124"/>
    </row>
    <row r="26" spans="2:4">
      <c r="B26" s="129"/>
      <c r="C26" s="116"/>
      <c r="D26" s="124"/>
    </row>
    <row r="27" spans="2:4" ht="14.25" thickBot="1">
      <c r="B27" s="129"/>
      <c r="C27" s="116"/>
      <c r="D27" s="124"/>
    </row>
    <row r="28" spans="2:4">
      <c r="B28" s="129"/>
      <c r="C28" s="126" t="s">
        <v>22</v>
      </c>
      <c r="D28" s="123" t="s">
        <v>23</v>
      </c>
    </row>
    <row r="29" spans="2:4">
      <c r="B29" s="129"/>
      <c r="C29" s="127"/>
      <c r="D29" s="124"/>
    </row>
    <row r="30" spans="2:4">
      <c r="B30" s="129"/>
      <c r="C30" s="127"/>
      <c r="D30" s="124"/>
    </row>
    <row r="31" spans="2:4" ht="14.25" thickBot="1">
      <c r="B31" s="130"/>
      <c r="C31" s="110"/>
      <c r="D31" s="125"/>
    </row>
    <row r="32" spans="2:4" ht="14.25" thickBot="1"/>
    <row r="33" spans="2:4">
      <c r="B33" s="119" t="s">
        <v>1</v>
      </c>
      <c r="C33" s="122" t="s">
        <v>3</v>
      </c>
      <c r="D33" s="123" t="s">
        <v>31</v>
      </c>
    </row>
    <row r="34" spans="2:4">
      <c r="B34" s="120"/>
      <c r="C34" s="116"/>
      <c r="D34" s="124"/>
    </row>
    <row r="35" spans="2:4">
      <c r="B35" s="120"/>
      <c r="C35" s="116"/>
      <c r="D35" s="124"/>
    </row>
    <row r="36" spans="2:4">
      <c r="B36" s="120"/>
      <c r="C36" s="116"/>
      <c r="D36" s="124"/>
    </row>
    <row r="37" spans="2:4">
      <c r="B37" s="120"/>
      <c r="C37" s="116"/>
      <c r="D37" s="124"/>
    </row>
    <row r="38" spans="2:4" ht="14.25" thickBot="1">
      <c r="B38" s="120"/>
      <c r="C38" s="118"/>
      <c r="D38" s="125"/>
    </row>
    <row r="39" spans="2:4">
      <c r="B39" s="120"/>
      <c r="C39" s="122" t="s">
        <v>24</v>
      </c>
      <c r="D39" s="123" t="s">
        <v>32</v>
      </c>
    </row>
    <row r="40" spans="2:4" ht="14.25" thickBot="1">
      <c r="B40" s="121"/>
      <c r="C40" s="118"/>
      <c r="D40" s="125"/>
    </row>
    <row r="41" spans="2:4" ht="14.25" thickBot="1"/>
    <row r="42" spans="2:4" ht="14.25" thickBot="1">
      <c r="B42" s="99" t="s">
        <v>2</v>
      </c>
      <c r="C42" s="11" t="s">
        <v>34</v>
      </c>
      <c r="D42" s="7"/>
    </row>
    <row r="43" spans="2:4">
      <c r="B43" s="100"/>
      <c r="C43" s="102" t="s">
        <v>4</v>
      </c>
      <c r="D43" s="105" t="s">
        <v>33</v>
      </c>
    </row>
    <row r="44" spans="2:4">
      <c r="B44" s="100"/>
      <c r="C44" s="103"/>
      <c r="D44" s="111"/>
    </row>
    <row r="45" spans="2:4">
      <c r="B45" s="100"/>
      <c r="C45" s="103"/>
      <c r="D45" s="111"/>
    </row>
    <row r="46" spans="2:4">
      <c r="B46" s="100"/>
      <c r="C46" s="103"/>
      <c r="D46" s="111"/>
    </row>
    <row r="47" spans="2:4">
      <c r="B47" s="100"/>
      <c r="C47" s="103"/>
      <c r="D47" s="111"/>
    </row>
    <row r="48" spans="2:4">
      <c r="B48" s="100"/>
      <c r="C48" s="103"/>
      <c r="D48" s="111"/>
    </row>
    <row r="49" spans="2:4">
      <c r="B49" s="100"/>
      <c r="C49" s="103"/>
      <c r="D49" s="111"/>
    </row>
    <row r="50" spans="2:4">
      <c r="B50" s="100"/>
      <c r="C50" s="103"/>
      <c r="D50" s="111"/>
    </row>
    <row r="51" spans="2:4">
      <c r="B51" s="100"/>
      <c r="C51" s="103"/>
      <c r="D51" s="111"/>
    </row>
    <row r="52" spans="2:4" ht="14.25" thickBot="1">
      <c r="B52" s="100"/>
      <c r="C52" s="104"/>
      <c r="D52" s="112"/>
    </row>
    <row r="53" spans="2:4" ht="12.95" customHeight="1">
      <c r="B53" s="100"/>
      <c r="C53" s="102" t="s">
        <v>28</v>
      </c>
      <c r="D53" s="105" t="s">
        <v>29</v>
      </c>
    </row>
    <row r="54" spans="2:4">
      <c r="B54" s="100"/>
      <c r="C54" s="103"/>
      <c r="D54" s="106"/>
    </row>
    <row r="55" spans="2:4">
      <c r="B55" s="100"/>
      <c r="C55" s="103"/>
      <c r="D55" s="106"/>
    </row>
    <row r="56" spans="2:4">
      <c r="B56" s="100"/>
      <c r="C56" s="103"/>
      <c r="D56" s="106"/>
    </row>
    <row r="57" spans="2:4">
      <c r="B57" s="100"/>
      <c r="C57" s="103"/>
      <c r="D57" s="106"/>
    </row>
    <row r="58" spans="2:4">
      <c r="B58" s="100"/>
      <c r="C58" s="103"/>
      <c r="D58" s="106"/>
    </row>
    <row r="59" spans="2:4" ht="14.25" thickBot="1">
      <c r="B59" s="100"/>
      <c r="C59" s="104"/>
      <c r="D59" s="107"/>
    </row>
    <row r="60" spans="2:4" ht="17.45" customHeight="1">
      <c r="B60" s="100"/>
      <c r="C60" s="109" t="s">
        <v>30</v>
      </c>
      <c r="D60" s="108" t="s">
        <v>36</v>
      </c>
    </row>
    <row r="61" spans="2:4" ht="14.25" thickBot="1">
      <c r="B61" s="101"/>
      <c r="C61" s="110"/>
      <c r="D61" s="107"/>
    </row>
  </sheetData>
  <mergeCells count="23">
    <mergeCell ref="B3:B12"/>
    <mergeCell ref="C4:C10"/>
    <mergeCell ref="D4:D12"/>
    <mergeCell ref="C11:C12"/>
    <mergeCell ref="B33:B40"/>
    <mergeCell ref="C33:C38"/>
    <mergeCell ref="C39:C40"/>
    <mergeCell ref="D33:D38"/>
    <mergeCell ref="D39:D40"/>
    <mergeCell ref="C28:C31"/>
    <mergeCell ref="B16:B31"/>
    <mergeCell ref="D28:D31"/>
    <mergeCell ref="D16:D21"/>
    <mergeCell ref="C16:C21"/>
    <mergeCell ref="C22:C27"/>
    <mergeCell ref="D22:D27"/>
    <mergeCell ref="B42:B61"/>
    <mergeCell ref="C43:C52"/>
    <mergeCell ref="D53:D59"/>
    <mergeCell ref="C53:C59"/>
    <mergeCell ref="D60:D61"/>
    <mergeCell ref="C60:C61"/>
    <mergeCell ref="D43:D52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53"/>
  <sheetViews>
    <sheetView zoomScale="80" zoomScaleNormal="80" workbookViewId="0">
      <selection activeCell="C10" sqref="C10:C18"/>
    </sheetView>
  </sheetViews>
  <sheetFormatPr defaultRowHeight="13.5"/>
  <cols>
    <col min="2" max="2" width="8.25" bestFit="1" customWidth="1"/>
    <col min="3" max="3" width="30.5" bestFit="1" customWidth="1"/>
    <col min="4" max="4" width="17.875" bestFit="1" customWidth="1"/>
    <col min="6" max="6" width="4.125" bestFit="1" customWidth="1"/>
    <col min="7" max="7" width="10.375" bestFit="1" customWidth="1"/>
    <col min="8" max="8" width="5.875" bestFit="1" customWidth="1"/>
    <col min="9" max="9" width="73.25" customWidth="1"/>
  </cols>
  <sheetData>
    <row r="2" spans="2:9" ht="19.5" thickBot="1">
      <c r="E2" s="43" t="s">
        <v>100</v>
      </c>
    </row>
    <row r="3" spans="2:9" ht="14.25" thickBot="1">
      <c r="B3" s="5"/>
      <c r="C3" s="6"/>
      <c r="D3" s="6"/>
      <c r="E3" s="140"/>
      <c r="F3" s="122"/>
      <c r="G3" s="39">
        <v>24</v>
      </c>
      <c r="H3" s="38"/>
      <c r="I3" s="7"/>
    </row>
    <row r="4" spans="2:9">
      <c r="B4" s="134" t="s">
        <v>122</v>
      </c>
      <c r="C4" s="137" t="s">
        <v>123</v>
      </c>
      <c r="D4" s="54" t="s">
        <v>125</v>
      </c>
      <c r="E4" s="59">
        <v>75</v>
      </c>
      <c r="F4" s="55" t="s">
        <v>130</v>
      </c>
      <c r="G4" s="4">
        <f>E4*$G$3</f>
        <v>1800</v>
      </c>
      <c r="H4" s="55" t="s">
        <v>130</v>
      </c>
      <c r="I4" s="131"/>
    </row>
    <row r="5" spans="2:9" ht="14.25">
      <c r="B5" s="135"/>
      <c r="C5" s="138"/>
      <c r="D5" s="50" t="s">
        <v>126</v>
      </c>
      <c r="E5" s="40">
        <v>7.5</v>
      </c>
      <c r="F5" s="2" t="s">
        <v>130</v>
      </c>
      <c r="G5" s="2">
        <f t="shared" ref="G5:G25" si="0">E5*$G$3</f>
        <v>180</v>
      </c>
      <c r="H5" s="2" t="s">
        <v>130</v>
      </c>
      <c r="I5" s="132"/>
    </row>
    <row r="6" spans="2:9" ht="14.25">
      <c r="B6" s="135"/>
      <c r="C6" s="138"/>
      <c r="D6" s="50" t="s">
        <v>127</v>
      </c>
      <c r="E6" s="40">
        <v>9</v>
      </c>
      <c r="F6" s="2" t="s">
        <v>130</v>
      </c>
      <c r="G6" s="2">
        <f t="shared" si="0"/>
        <v>216</v>
      </c>
      <c r="H6" s="2" t="s">
        <v>130</v>
      </c>
      <c r="I6" s="132"/>
    </row>
    <row r="7" spans="2:9" ht="14.25">
      <c r="B7" s="135"/>
      <c r="C7" s="138"/>
      <c r="D7" s="50" t="s">
        <v>128</v>
      </c>
      <c r="E7" s="40">
        <v>4.5</v>
      </c>
      <c r="F7" s="2" t="s">
        <v>130</v>
      </c>
      <c r="G7" s="2">
        <f t="shared" si="0"/>
        <v>108</v>
      </c>
      <c r="H7" s="2" t="s">
        <v>130</v>
      </c>
      <c r="I7" s="132"/>
    </row>
    <row r="8" spans="2:9" ht="16.5" customHeight="1">
      <c r="B8" s="135"/>
      <c r="C8" s="138"/>
      <c r="D8" s="51" t="s">
        <v>124</v>
      </c>
      <c r="E8" s="40">
        <v>18</v>
      </c>
      <c r="F8" s="2" t="s">
        <v>130</v>
      </c>
      <c r="G8" s="2">
        <f t="shared" si="0"/>
        <v>432</v>
      </c>
      <c r="H8" s="2" t="s">
        <v>130</v>
      </c>
      <c r="I8" s="132"/>
    </row>
    <row r="9" spans="2:9">
      <c r="B9" s="135"/>
      <c r="C9" s="49" t="s">
        <v>129</v>
      </c>
      <c r="D9" s="2"/>
      <c r="E9" s="40"/>
      <c r="F9" s="2"/>
      <c r="G9" s="2">
        <f t="shared" si="0"/>
        <v>0</v>
      </c>
      <c r="H9" s="2"/>
      <c r="I9" s="56"/>
    </row>
    <row r="10" spans="2:9">
      <c r="B10" s="135"/>
      <c r="C10" s="168" t="s">
        <v>235</v>
      </c>
      <c r="D10" s="62" t="s">
        <v>230</v>
      </c>
      <c r="E10" s="62">
        <v>40</v>
      </c>
      <c r="F10" s="62" t="s">
        <v>9</v>
      </c>
      <c r="G10" s="2">
        <f t="shared" si="0"/>
        <v>960</v>
      </c>
      <c r="H10" s="62" t="s">
        <v>9</v>
      </c>
      <c r="I10" s="132"/>
    </row>
    <row r="11" spans="2:9">
      <c r="B11" s="135"/>
      <c r="C11" s="168"/>
      <c r="D11" s="62" t="s">
        <v>39</v>
      </c>
      <c r="E11" s="62">
        <v>0.25</v>
      </c>
      <c r="F11" s="62" t="s">
        <v>11</v>
      </c>
      <c r="G11" s="2">
        <f t="shared" si="0"/>
        <v>6</v>
      </c>
      <c r="H11" s="62" t="s">
        <v>11</v>
      </c>
      <c r="I11" s="132"/>
    </row>
    <row r="12" spans="2:9">
      <c r="B12" s="135"/>
      <c r="C12" s="168"/>
      <c r="D12" s="62" t="s">
        <v>132</v>
      </c>
      <c r="E12" s="62">
        <v>0.15</v>
      </c>
      <c r="F12" s="62" t="s">
        <v>215</v>
      </c>
      <c r="G12" s="2">
        <f t="shared" si="0"/>
        <v>3.5999999999999996</v>
      </c>
      <c r="H12" s="62" t="s">
        <v>215</v>
      </c>
      <c r="I12" s="132"/>
    </row>
    <row r="13" spans="2:9">
      <c r="B13" s="135"/>
      <c r="C13" s="168"/>
      <c r="D13" s="169" t="s">
        <v>198</v>
      </c>
      <c r="E13" s="2"/>
      <c r="F13" s="2"/>
      <c r="G13" s="2">
        <f t="shared" si="0"/>
        <v>0</v>
      </c>
      <c r="H13" s="2"/>
      <c r="I13" s="132"/>
    </row>
    <row r="14" spans="2:9">
      <c r="B14" s="135"/>
      <c r="C14" s="168"/>
      <c r="D14" s="62" t="s">
        <v>26</v>
      </c>
      <c r="E14" s="62">
        <v>3</v>
      </c>
      <c r="F14" s="62" t="s">
        <v>12</v>
      </c>
      <c r="G14" s="2">
        <f t="shared" si="0"/>
        <v>72</v>
      </c>
      <c r="H14" s="62" t="s">
        <v>12</v>
      </c>
      <c r="I14" s="132"/>
    </row>
    <row r="15" spans="2:9">
      <c r="B15" s="135"/>
      <c r="C15" s="168"/>
      <c r="D15" s="62" t="s">
        <v>162</v>
      </c>
      <c r="E15" s="62">
        <v>3</v>
      </c>
      <c r="F15" s="62" t="s">
        <v>9</v>
      </c>
      <c r="G15" s="2">
        <f t="shared" si="0"/>
        <v>72</v>
      </c>
      <c r="H15" s="62" t="s">
        <v>9</v>
      </c>
      <c r="I15" s="132"/>
    </row>
    <row r="16" spans="2:9">
      <c r="B16" s="135"/>
      <c r="C16" s="168"/>
      <c r="D16" s="62" t="s">
        <v>43</v>
      </c>
      <c r="E16" s="62">
        <v>2</v>
      </c>
      <c r="F16" s="62" t="s">
        <v>9</v>
      </c>
      <c r="G16" s="2">
        <f t="shared" si="0"/>
        <v>48</v>
      </c>
      <c r="H16" s="62" t="s">
        <v>9</v>
      </c>
      <c r="I16" s="132"/>
    </row>
    <row r="17" spans="2:9">
      <c r="B17" s="135"/>
      <c r="C17" s="168"/>
      <c r="D17" s="62" t="s">
        <v>236</v>
      </c>
      <c r="E17" s="62">
        <v>1.5</v>
      </c>
      <c r="F17" s="62" t="s">
        <v>9</v>
      </c>
      <c r="G17" s="2">
        <f t="shared" si="0"/>
        <v>36</v>
      </c>
      <c r="H17" s="62" t="s">
        <v>9</v>
      </c>
      <c r="I17" s="132"/>
    </row>
    <row r="18" spans="2:9">
      <c r="B18" s="135"/>
      <c r="C18" s="168"/>
      <c r="D18" s="62" t="s">
        <v>184</v>
      </c>
      <c r="E18" s="62" t="s">
        <v>187</v>
      </c>
      <c r="F18" s="62" t="s">
        <v>9</v>
      </c>
      <c r="G18" s="2" t="e">
        <f t="shared" si="0"/>
        <v>#VALUE!</v>
      </c>
      <c r="H18" s="62" t="s">
        <v>9</v>
      </c>
      <c r="I18" s="132"/>
    </row>
    <row r="19" spans="2:9">
      <c r="B19" s="135"/>
      <c r="C19" s="138" t="s">
        <v>237</v>
      </c>
      <c r="D19" s="62" t="s">
        <v>138</v>
      </c>
      <c r="E19" s="62">
        <v>0.2</v>
      </c>
      <c r="F19" s="62" t="s">
        <v>11</v>
      </c>
      <c r="G19" s="2">
        <f t="shared" si="0"/>
        <v>4.8000000000000007</v>
      </c>
      <c r="H19" s="62" t="s">
        <v>11</v>
      </c>
      <c r="I19" s="132"/>
    </row>
    <row r="20" spans="2:9" ht="25.5">
      <c r="B20" s="135"/>
      <c r="C20" s="138"/>
      <c r="D20" s="62" t="s">
        <v>139</v>
      </c>
      <c r="E20" s="62">
        <v>0.2</v>
      </c>
      <c r="F20" s="62" t="s">
        <v>140</v>
      </c>
      <c r="G20" s="2">
        <f t="shared" si="0"/>
        <v>4.8000000000000007</v>
      </c>
      <c r="H20" s="62" t="s">
        <v>140</v>
      </c>
      <c r="I20" s="132"/>
    </row>
    <row r="21" spans="2:9">
      <c r="B21" s="135"/>
      <c r="C21" s="138"/>
      <c r="D21" s="62" t="s">
        <v>141</v>
      </c>
      <c r="E21" s="62">
        <v>2</v>
      </c>
      <c r="F21" s="62" t="s">
        <v>9</v>
      </c>
      <c r="G21" s="2">
        <f t="shared" si="0"/>
        <v>48</v>
      </c>
      <c r="H21" s="62" t="s">
        <v>9</v>
      </c>
      <c r="I21" s="132"/>
    </row>
    <row r="22" spans="2:9">
      <c r="B22" s="135"/>
      <c r="C22" s="138"/>
      <c r="D22" s="52" t="s">
        <v>199</v>
      </c>
      <c r="E22" s="2"/>
      <c r="F22" s="2"/>
      <c r="G22" s="2">
        <f t="shared" si="0"/>
        <v>0</v>
      </c>
      <c r="H22" s="2"/>
      <c r="I22" s="132"/>
    </row>
    <row r="23" spans="2:9">
      <c r="B23" s="135"/>
      <c r="C23" s="138"/>
      <c r="D23" s="163" t="s">
        <v>239</v>
      </c>
      <c r="E23" s="62">
        <v>150</v>
      </c>
      <c r="F23" s="62" t="s">
        <v>12</v>
      </c>
      <c r="G23" s="2">
        <f t="shared" si="0"/>
        <v>3600</v>
      </c>
      <c r="H23" s="62" t="s">
        <v>12</v>
      </c>
      <c r="I23" s="132"/>
    </row>
    <row r="24" spans="2:9" ht="14.1" customHeight="1">
      <c r="B24" s="135"/>
      <c r="C24" s="138"/>
      <c r="D24" s="62" t="s">
        <v>238</v>
      </c>
      <c r="E24" s="62">
        <v>15</v>
      </c>
      <c r="F24" s="62" t="s">
        <v>12</v>
      </c>
      <c r="G24" s="2">
        <f t="shared" si="0"/>
        <v>360</v>
      </c>
      <c r="H24" s="62" t="s">
        <v>12</v>
      </c>
      <c r="I24" s="132"/>
    </row>
    <row r="25" spans="2:9" ht="14.25" thickBot="1">
      <c r="B25" s="136"/>
      <c r="C25" s="139"/>
      <c r="D25" s="65" t="s">
        <v>27</v>
      </c>
      <c r="E25" s="65">
        <v>3</v>
      </c>
      <c r="F25" s="65" t="s">
        <v>12</v>
      </c>
      <c r="G25" s="58">
        <f t="shared" si="0"/>
        <v>72</v>
      </c>
      <c r="H25" s="65" t="s">
        <v>12</v>
      </c>
      <c r="I25" s="133"/>
    </row>
    <row r="26" spans="2:9">
      <c r="B26" s="47"/>
      <c r="C26" s="47"/>
      <c r="D26" s="37"/>
      <c r="E26" s="37"/>
      <c r="F26" s="37"/>
      <c r="G26" s="37"/>
      <c r="H26" s="37"/>
      <c r="I26" s="48"/>
    </row>
    <row r="27" spans="2:9">
      <c r="B27" s="47"/>
      <c r="C27" s="47"/>
      <c r="D27" s="37"/>
      <c r="E27" s="37"/>
      <c r="F27" s="37"/>
      <c r="G27" s="37"/>
      <c r="H27" s="37"/>
      <c r="I27" s="48"/>
    </row>
    <row r="28" spans="2:9">
      <c r="B28" s="47"/>
      <c r="C28" s="47"/>
      <c r="D28" s="37"/>
      <c r="E28" s="37"/>
      <c r="F28" s="37"/>
      <c r="G28" s="37"/>
      <c r="H28" s="37"/>
      <c r="I28" s="48"/>
    </row>
    <row r="29" spans="2:9">
      <c r="B29" s="47"/>
      <c r="C29" s="47"/>
      <c r="D29" s="37"/>
      <c r="E29" s="37"/>
      <c r="F29" s="37"/>
      <c r="G29" s="37"/>
      <c r="H29" s="37"/>
      <c r="I29" s="48"/>
    </row>
    <row r="30" spans="2:9">
      <c r="B30" s="47"/>
      <c r="C30" s="47"/>
      <c r="D30" s="37"/>
      <c r="E30" s="37"/>
      <c r="F30" s="37"/>
      <c r="G30" s="37"/>
      <c r="H30" s="37"/>
      <c r="I30" s="48"/>
    </row>
    <row r="31" spans="2:9">
      <c r="B31" s="47"/>
      <c r="C31" s="47"/>
      <c r="D31" s="37"/>
      <c r="E31" s="37"/>
      <c r="F31" s="37"/>
      <c r="G31" s="37"/>
      <c r="H31" s="37"/>
      <c r="I31" s="48"/>
    </row>
    <row r="32" spans="2:9">
      <c r="B32" s="47"/>
      <c r="C32" s="47"/>
      <c r="D32" s="37"/>
      <c r="E32" s="37"/>
      <c r="F32" s="37"/>
      <c r="G32" s="37"/>
      <c r="H32" s="37"/>
      <c r="I32" s="48"/>
    </row>
    <row r="33" spans="2:9">
      <c r="B33" s="47"/>
      <c r="C33" s="47"/>
      <c r="D33" s="37"/>
      <c r="E33" s="37"/>
      <c r="F33" s="37"/>
      <c r="G33" s="37"/>
      <c r="H33" s="37"/>
      <c r="I33" s="48"/>
    </row>
    <row r="34" spans="2:9">
      <c r="B34" s="47"/>
      <c r="C34" s="47"/>
      <c r="D34" s="37"/>
      <c r="E34" s="37"/>
      <c r="F34" s="37"/>
      <c r="G34" s="37"/>
      <c r="H34" s="37"/>
      <c r="I34" s="48"/>
    </row>
    <row r="35" spans="2:9">
      <c r="B35" s="47"/>
      <c r="C35" s="47"/>
      <c r="D35" s="37"/>
      <c r="E35" s="37"/>
      <c r="F35" s="37"/>
      <c r="G35" s="37"/>
      <c r="H35" s="37"/>
      <c r="I35" s="48"/>
    </row>
    <row r="36" spans="2:9">
      <c r="B36" s="47"/>
      <c r="C36" s="47"/>
      <c r="D36" s="37"/>
      <c r="E36" s="37"/>
      <c r="F36" s="37"/>
      <c r="G36" s="37"/>
      <c r="H36" s="37"/>
      <c r="I36" s="48"/>
    </row>
    <row r="37" spans="2:9">
      <c r="B37" s="47"/>
      <c r="C37" s="47"/>
      <c r="D37" s="37"/>
      <c r="E37" s="37"/>
      <c r="F37" s="37"/>
      <c r="G37" s="37"/>
      <c r="H37" s="37"/>
      <c r="I37" s="48"/>
    </row>
    <row r="38" spans="2:9">
      <c r="B38" s="47"/>
      <c r="C38" s="37"/>
      <c r="D38" s="37"/>
      <c r="E38" s="37"/>
      <c r="F38" s="37"/>
      <c r="G38" s="37"/>
      <c r="H38" s="37"/>
      <c r="I38" s="37"/>
    </row>
    <row r="39" spans="2:9">
      <c r="B39" s="42"/>
      <c r="C39" s="37"/>
      <c r="D39" s="37"/>
      <c r="E39" s="37"/>
      <c r="F39" s="37"/>
      <c r="G39" s="37"/>
      <c r="H39" s="37"/>
      <c r="I39" s="37"/>
    </row>
    <row r="40" spans="2:9">
      <c r="B40" s="37"/>
      <c r="C40" s="37"/>
      <c r="D40" s="37"/>
      <c r="E40" s="37"/>
      <c r="F40" s="37"/>
      <c r="G40" s="37"/>
      <c r="H40" s="37"/>
      <c r="I40" s="37"/>
    </row>
    <row r="41" spans="2:9">
      <c r="B41" s="47"/>
      <c r="C41" s="47"/>
      <c r="D41" s="37"/>
      <c r="E41" s="37"/>
      <c r="F41" s="37"/>
      <c r="G41" s="37"/>
      <c r="H41" s="37"/>
      <c r="I41" s="47"/>
    </row>
    <row r="42" spans="2:9">
      <c r="B42" s="47"/>
      <c r="C42" s="47"/>
      <c r="D42" s="37"/>
      <c r="E42" s="37"/>
      <c r="F42" s="37"/>
      <c r="G42" s="37"/>
      <c r="H42" s="37"/>
      <c r="I42" s="47"/>
    </row>
    <row r="43" spans="2:9">
      <c r="B43" s="47"/>
      <c r="C43" s="47"/>
      <c r="D43" s="37"/>
      <c r="E43" s="37"/>
      <c r="F43" s="37"/>
      <c r="G43" s="37"/>
      <c r="H43" s="37"/>
      <c r="I43" s="47"/>
    </row>
    <row r="44" spans="2:9">
      <c r="B44" s="47"/>
      <c r="C44" s="47"/>
      <c r="D44" s="37"/>
      <c r="E44" s="37"/>
      <c r="F44" s="37"/>
      <c r="G44" s="37"/>
      <c r="H44" s="37"/>
      <c r="I44" s="47"/>
    </row>
    <row r="45" spans="2:9">
      <c r="B45" s="47"/>
      <c r="C45" s="47"/>
      <c r="D45" s="37"/>
      <c r="E45" s="37"/>
      <c r="F45" s="37"/>
      <c r="G45" s="37"/>
      <c r="H45" s="37"/>
      <c r="I45" s="47"/>
    </row>
    <row r="46" spans="2:9">
      <c r="B46" s="47"/>
      <c r="C46" s="42"/>
      <c r="D46" s="37"/>
      <c r="E46" s="37"/>
      <c r="F46" s="37"/>
      <c r="G46" s="37"/>
      <c r="H46" s="37"/>
      <c r="I46" s="37"/>
    </row>
    <row r="47" spans="2:9">
      <c r="B47" s="47"/>
      <c r="C47" s="47"/>
      <c r="D47" s="37"/>
      <c r="E47" s="37"/>
      <c r="F47" s="37"/>
      <c r="G47" s="37"/>
      <c r="H47" s="37"/>
      <c r="I47" s="47"/>
    </row>
    <row r="48" spans="2:9">
      <c r="B48" s="47"/>
      <c r="C48" s="47"/>
      <c r="D48" s="37"/>
      <c r="E48" s="37"/>
      <c r="F48" s="37"/>
      <c r="G48" s="37"/>
      <c r="H48" s="37"/>
      <c r="I48" s="47"/>
    </row>
    <row r="49" spans="2:9">
      <c r="B49" s="47"/>
      <c r="C49" s="47"/>
      <c r="D49" s="37"/>
      <c r="E49" s="37"/>
      <c r="F49" s="37"/>
      <c r="G49" s="37"/>
      <c r="H49" s="37"/>
      <c r="I49" s="47"/>
    </row>
    <row r="50" spans="2:9">
      <c r="B50" s="47"/>
      <c r="C50" s="47"/>
      <c r="D50" s="37"/>
      <c r="E50" s="37"/>
      <c r="F50" s="37"/>
      <c r="G50" s="37"/>
      <c r="H50" s="37"/>
      <c r="I50" s="47"/>
    </row>
    <row r="51" spans="2:9">
      <c r="B51" s="47"/>
      <c r="C51" s="47"/>
      <c r="D51" s="37"/>
      <c r="E51" s="37"/>
      <c r="F51" s="37"/>
      <c r="G51" s="37"/>
      <c r="H51" s="37"/>
      <c r="I51" s="47"/>
    </row>
    <row r="52" spans="2:9">
      <c r="B52" s="47"/>
      <c r="C52" s="47"/>
      <c r="D52" s="37"/>
      <c r="E52" s="37"/>
      <c r="F52" s="37"/>
      <c r="G52" s="37"/>
      <c r="H52" s="37"/>
      <c r="I52" s="47"/>
    </row>
    <row r="53" spans="2:9">
      <c r="B53" s="47"/>
      <c r="C53" s="47"/>
      <c r="D53" s="37"/>
      <c r="E53" s="37"/>
      <c r="F53" s="37"/>
      <c r="G53" s="37"/>
      <c r="H53" s="37"/>
      <c r="I53" s="47"/>
    </row>
  </sheetData>
  <mergeCells count="8">
    <mergeCell ref="E3:F3"/>
    <mergeCell ref="C10:C18"/>
    <mergeCell ref="I4:I8"/>
    <mergeCell ref="C4:C8"/>
    <mergeCell ref="C19:C25"/>
    <mergeCell ref="B4:B25"/>
    <mergeCell ref="I10:I18"/>
    <mergeCell ref="I19:I25"/>
  </mergeCells>
  <phoneticPr fontId="1"/>
  <hyperlinks>
    <hyperlink ref="D4" r:id="rId1" display="https://delishkitchen.tv/categories/9667" xr:uid="{DBB9179D-B8A8-4353-B68F-EFCC7FA8176F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62"/>
  <sheetViews>
    <sheetView topLeftCell="A3" zoomScale="80" zoomScaleNormal="80" workbookViewId="0">
      <selection activeCell="C3" sqref="C3:C12"/>
    </sheetView>
  </sheetViews>
  <sheetFormatPr defaultRowHeight="13.5"/>
  <cols>
    <col min="2" max="2" width="8.25" bestFit="1" customWidth="1"/>
    <col min="3" max="3" width="30.5" bestFit="1" customWidth="1"/>
    <col min="4" max="4" width="17.875" bestFit="1" customWidth="1"/>
    <col min="6" max="6" width="4.125" bestFit="1" customWidth="1"/>
    <col min="7" max="7" width="10.375" bestFit="1" customWidth="1"/>
    <col min="8" max="8" width="5.875" bestFit="1" customWidth="1"/>
    <col min="9" max="9" width="73.25" customWidth="1"/>
  </cols>
  <sheetData>
    <row r="1" spans="2:9" ht="14.25" thickBot="1"/>
    <row r="2" spans="2:9" ht="14.25" thickBot="1">
      <c r="B2" s="5"/>
      <c r="C2" s="6" t="s">
        <v>8</v>
      </c>
      <c r="D2" s="6" t="s">
        <v>5</v>
      </c>
      <c r="E2" s="140" t="s">
        <v>6</v>
      </c>
      <c r="F2" s="122"/>
      <c r="G2" s="39">
        <v>24</v>
      </c>
      <c r="H2" s="38" t="s">
        <v>99</v>
      </c>
      <c r="I2" s="7" t="s">
        <v>7</v>
      </c>
    </row>
    <row r="3" spans="2:9">
      <c r="B3" s="143" t="s">
        <v>142</v>
      </c>
      <c r="C3" s="137" t="s">
        <v>271</v>
      </c>
      <c r="D3" s="63" t="s">
        <v>143</v>
      </c>
      <c r="E3" s="64">
        <v>50</v>
      </c>
      <c r="F3" s="63" t="s">
        <v>9</v>
      </c>
      <c r="G3" s="4">
        <f>E3*$G$2</f>
        <v>1200</v>
      </c>
      <c r="H3" s="63" t="s">
        <v>9</v>
      </c>
      <c r="I3" s="131"/>
    </row>
    <row r="4" spans="2:9">
      <c r="B4" s="144"/>
      <c r="C4" s="138"/>
      <c r="D4" s="62" t="s">
        <v>144</v>
      </c>
      <c r="E4" s="60">
        <v>50</v>
      </c>
      <c r="F4" s="62" t="s">
        <v>9</v>
      </c>
      <c r="G4" s="2">
        <f t="shared" ref="G4:G23" si="0">E4*$G$2</f>
        <v>1200</v>
      </c>
      <c r="H4" s="62" t="s">
        <v>9</v>
      </c>
      <c r="I4" s="132"/>
    </row>
    <row r="5" spans="2:9">
      <c r="B5" s="144"/>
      <c r="C5" s="138"/>
      <c r="D5" s="62" t="s">
        <v>145</v>
      </c>
      <c r="E5" s="60">
        <v>30</v>
      </c>
      <c r="F5" s="62" t="s">
        <v>9</v>
      </c>
      <c r="G5" s="2">
        <f t="shared" si="0"/>
        <v>720</v>
      </c>
      <c r="H5" s="62" t="s">
        <v>9</v>
      </c>
      <c r="I5" s="132"/>
    </row>
    <row r="6" spans="2:9">
      <c r="B6" s="144"/>
      <c r="C6" s="138"/>
      <c r="D6" s="62" t="s">
        <v>146</v>
      </c>
      <c r="E6" s="60">
        <v>30</v>
      </c>
      <c r="F6" s="62" t="s">
        <v>9</v>
      </c>
      <c r="G6" s="2">
        <f t="shared" si="0"/>
        <v>720</v>
      </c>
      <c r="H6" s="62" t="s">
        <v>9</v>
      </c>
      <c r="I6" s="132"/>
    </row>
    <row r="7" spans="2:9" ht="16.5" customHeight="1">
      <c r="B7" s="144"/>
      <c r="C7" s="138"/>
      <c r="D7" s="52" t="s">
        <v>147</v>
      </c>
      <c r="E7" s="40"/>
      <c r="F7" s="2"/>
      <c r="G7" s="2">
        <f t="shared" si="0"/>
        <v>0</v>
      </c>
      <c r="H7" s="2"/>
      <c r="I7" s="132"/>
    </row>
    <row r="8" spans="2:9">
      <c r="B8" s="144"/>
      <c r="C8" s="138"/>
      <c r="D8" s="62" t="s">
        <v>43</v>
      </c>
      <c r="E8" s="60">
        <v>10</v>
      </c>
      <c r="F8" s="62" t="s">
        <v>12</v>
      </c>
      <c r="G8" s="2">
        <f t="shared" si="0"/>
        <v>240</v>
      </c>
      <c r="H8" s="62" t="s">
        <v>12</v>
      </c>
      <c r="I8" s="132"/>
    </row>
    <row r="9" spans="2:9">
      <c r="B9" s="144"/>
      <c r="C9" s="138"/>
      <c r="D9" s="62" t="s">
        <v>27</v>
      </c>
      <c r="E9" s="60">
        <v>10</v>
      </c>
      <c r="F9" s="62" t="s">
        <v>12</v>
      </c>
      <c r="G9" s="2">
        <f t="shared" si="0"/>
        <v>240</v>
      </c>
      <c r="H9" s="62" t="s">
        <v>12</v>
      </c>
      <c r="I9" s="132"/>
    </row>
    <row r="10" spans="2:9">
      <c r="B10" s="144"/>
      <c r="C10" s="138"/>
      <c r="D10" s="62" t="s">
        <v>25</v>
      </c>
      <c r="E10" s="60">
        <v>10</v>
      </c>
      <c r="F10" s="62" t="s">
        <v>9</v>
      </c>
      <c r="G10" s="2">
        <f t="shared" si="0"/>
        <v>240</v>
      </c>
      <c r="H10" s="62" t="s">
        <v>9</v>
      </c>
      <c r="I10" s="132"/>
    </row>
    <row r="11" spans="2:9">
      <c r="B11" s="144"/>
      <c r="C11" s="138"/>
      <c r="D11" s="62" t="s">
        <v>148</v>
      </c>
      <c r="E11" s="60">
        <v>10</v>
      </c>
      <c r="F11" s="62" t="s">
        <v>9</v>
      </c>
      <c r="G11" s="2">
        <f t="shared" si="0"/>
        <v>240</v>
      </c>
      <c r="H11" s="62" t="s">
        <v>9</v>
      </c>
      <c r="I11" s="132"/>
    </row>
    <row r="12" spans="2:9">
      <c r="B12" s="144"/>
      <c r="C12" s="138"/>
      <c r="D12" s="62" t="s">
        <v>149</v>
      </c>
      <c r="E12" s="60">
        <v>10</v>
      </c>
      <c r="F12" s="62" t="s">
        <v>12</v>
      </c>
      <c r="G12" s="2">
        <f t="shared" si="0"/>
        <v>240</v>
      </c>
      <c r="H12" s="62" t="s">
        <v>12</v>
      </c>
      <c r="I12" s="132"/>
    </row>
    <row r="13" spans="2:9">
      <c r="B13" s="144"/>
      <c r="C13" s="49" t="s">
        <v>129</v>
      </c>
      <c r="D13" s="2"/>
      <c r="E13" s="40"/>
      <c r="F13" s="2"/>
      <c r="G13" s="2">
        <f t="shared" si="0"/>
        <v>0</v>
      </c>
      <c r="H13" s="2"/>
      <c r="I13" s="56"/>
    </row>
    <row r="14" spans="2:9">
      <c r="B14" s="144"/>
      <c r="C14" s="138" t="s">
        <v>131</v>
      </c>
      <c r="D14" s="52" t="s">
        <v>132</v>
      </c>
      <c r="E14" s="60">
        <v>50</v>
      </c>
      <c r="F14" s="52" t="s">
        <v>9</v>
      </c>
      <c r="G14" s="2">
        <f t="shared" si="0"/>
        <v>1200</v>
      </c>
      <c r="H14" s="52" t="s">
        <v>9</v>
      </c>
      <c r="I14" s="132"/>
    </row>
    <row r="15" spans="2:9">
      <c r="B15" s="144"/>
      <c r="C15" s="138"/>
      <c r="D15" s="52" t="s">
        <v>133</v>
      </c>
      <c r="E15" s="60" t="s">
        <v>136</v>
      </c>
      <c r="F15" s="53"/>
      <c r="G15" s="2" t="e">
        <f t="shared" si="0"/>
        <v>#VALUE!</v>
      </c>
      <c r="H15" s="53"/>
      <c r="I15" s="132"/>
    </row>
    <row r="16" spans="2:9">
      <c r="B16" s="144"/>
      <c r="C16" s="138"/>
      <c r="D16" s="52" t="s">
        <v>134</v>
      </c>
      <c r="E16" s="40"/>
      <c r="F16" s="2"/>
      <c r="G16" s="2">
        <f t="shared" si="0"/>
        <v>0</v>
      </c>
      <c r="H16" s="2"/>
      <c r="I16" s="132"/>
    </row>
    <row r="17" spans="2:9" ht="25.5">
      <c r="B17" s="144"/>
      <c r="C17" s="138"/>
      <c r="D17" s="52" t="s">
        <v>135</v>
      </c>
      <c r="E17" s="40">
        <v>12</v>
      </c>
      <c r="F17" s="2" t="s">
        <v>137</v>
      </c>
      <c r="G17" s="2">
        <f t="shared" si="0"/>
        <v>288</v>
      </c>
      <c r="H17" s="2" t="s">
        <v>137</v>
      </c>
      <c r="I17" s="132"/>
    </row>
    <row r="18" spans="2:9">
      <c r="B18" s="144"/>
      <c r="C18" s="138" t="s">
        <v>150</v>
      </c>
      <c r="D18" s="62" t="s">
        <v>151</v>
      </c>
      <c r="E18" s="60">
        <v>0.25</v>
      </c>
      <c r="F18" s="62" t="s">
        <v>11</v>
      </c>
      <c r="G18" s="2">
        <f t="shared" si="0"/>
        <v>6</v>
      </c>
      <c r="H18" s="62" t="s">
        <v>11</v>
      </c>
      <c r="I18" s="141"/>
    </row>
    <row r="19" spans="2:9">
      <c r="B19" s="144"/>
      <c r="C19" s="138"/>
      <c r="D19" s="62" t="s">
        <v>152</v>
      </c>
      <c r="E19" s="60">
        <v>0.125</v>
      </c>
      <c r="F19" s="62" t="s">
        <v>153</v>
      </c>
      <c r="G19" s="2">
        <f t="shared" si="0"/>
        <v>3</v>
      </c>
      <c r="H19" s="62" t="s">
        <v>153</v>
      </c>
      <c r="I19" s="141"/>
    </row>
    <row r="20" spans="2:9">
      <c r="B20" s="144"/>
      <c r="C20" s="138"/>
      <c r="D20" s="52" t="s">
        <v>147</v>
      </c>
      <c r="E20" s="40"/>
      <c r="F20" s="2"/>
      <c r="G20" s="2">
        <f t="shared" si="0"/>
        <v>0</v>
      </c>
      <c r="H20" s="2"/>
      <c r="I20" s="141"/>
    </row>
    <row r="21" spans="2:9">
      <c r="B21" s="144"/>
      <c r="C21" s="138"/>
      <c r="D21" s="62" t="s">
        <v>41</v>
      </c>
      <c r="E21" s="60">
        <v>2</v>
      </c>
      <c r="F21" s="62" t="s">
        <v>9</v>
      </c>
      <c r="G21" s="2">
        <f t="shared" si="0"/>
        <v>48</v>
      </c>
      <c r="H21" s="62" t="s">
        <v>9</v>
      </c>
      <c r="I21" s="141"/>
    </row>
    <row r="22" spans="2:9">
      <c r="B22" s="144"/>
      <c r="C22" s="138"/>
      <c r="D22" s="62" t="s">
        <v>40</v>
      </c>
      <c r="E22" s="60">
        <v>16</v>
      </c>
      <c r="F22" s="62" t="s">
        <v>9</v>
      </c>
      <c r="G22" s="2">
        <f t="shared" si="0"/>
        <v>384</v>
      </c>
      <c r="H22" s="62" t="s">
        <v>9</v>
      </c>
      <c r="I22" s="141"/>
    </row>
    <row r="23" spans="2:9" ht="14.1" customHeight="1" thickBot="1">
      <c r="B23" s="145"/>
      <c r="C23" s="139"/>
      <c r="D23" s="65" t="s">
        <v>154</v>
      </c>
      <c r="E23" s="61">
        <v>150</v>
      </c>
      <c r="F23" s="65" t="s">
        <v>12</v>
      </c>
      <c r="G23" s="58">
        <f t="shared" si="0"/>
        <v>3600</v>
      </c>
      <c r="H23" s="65" t="s">
        <v>12</v>
      </c>
      <c r="I23" s="142"/>
    </row>
    <row r="24" spans="2:9" ht="14.25" thickBot="1">
      <c r="B24" s="47"/>
      <c r="C24" s="47"/>
      <c r="D24" s="37"/>
      <c r="E24" s="37"/>
      <c r="F24" s="37"/>
      <c r="G24" s="37"/>
      <c r="H24" s="37"/>
      <c r="I24" s="48"/>
    </row>
    <row r="25" spans="2:9">
      <c r="B25" s="151" t="s">
        <v>155</v>
      </c>
      <c r="C25" s="137" t="s">
        <v>107</v>
      </c>
      <c r="D25" s="152" t="s">
        <v>156</v>
      </c>
      <c r="E25" s="64">
        <v>1</v>
      </c>
      <c r="F25" s="152" t="s">
        <v>171</v>
      </c>
      <c r="G25" s="4">
        <f>E25*$G$2</f>
        <v>24</v>
      </c>
      <c r="H25" s="152" t="s">
        <v>171</v>
      </c>
      <c r="I25" s="131"/>
    </row>
    <row r="26" spans="2:9">
      <c r="B26" s="153"/>
      <c r="C26" s="138"/>
      <c r="D26" s="52" t="s">
        <v>157</v>
      </c>
      <c r="E26" s="60">
        <v>100</v>
      </c>
      <c r="F26" s="52" t="s">
        <v>173</v>
      </c>
      <c r="G26" s="2">
        <f t="shared" ref="G26:G41" si="1">E26*$G$2</f>
        <v>2400</v>
      </c>
      <c r="H26" s="52" t="s">
        <v>173</v>
      </c>
      <c r="I26" s="132"/>
    </row>
    <row r="27" spans="2:9">
      <c r="B27" s="153"/>
      <c r="C27" s="138"/>
      <c r="D27" s="52" t="s">
        <v>158</v>
      </c>
      <c r="E27" s="60">
        <v>1000</v>
      </c>
      <c r="F27" s="52" t="s">
        <v>175</v>
      </c>
      <c r="G27" s="2">
        <f t="shared" si="1"/>
        <v>24000</v>
      </c>
      <c r="H27" s="52" t="s">
        <v>175</v>
      </c>
      <c r="I27" s="132"/>
    </row>
    <row r="28" spans="2:9">
      <c r="B28" s="153"/>
      <c r="C28" s="138"/>
      <c r="D28" s="52" t="s">
        <v>159</v>
      </c>
      <c r="E28" s="60">
        <v>15</v>
      </c>
      <c r="F28" s="52" t="s">
        <v>173</v>
      </c>
      <c r="G28" s="2">
        <f t="shared" si="1"/>
        <v>360</v>
      </c>
      <c r="H28" s="52" t="s">
        <v>173</v>
      </c>
      <c r="I28" s="132"/>
    </row>
    <row r="29" spans="2:9">
      <c r="B29" s="153"/>
      <c r="C29" s="138"/>
      <c r="D29" s="52" t="s">
        <v>160</v>
      </c>
      <c r="E29" s="40" t="s">
        <v>169</v>
      </c>
      <c r="F29" s="2"/>
      <c r="G29" s="2" t="e">
        <f t="shared" si="1"/>
        <v>#VALUE!</v>
      </c>
      <c r="H29" s="2"/>
      <c r="I29" s="132"/>
    </row>
    <row r="30" spans="2:9">
      <c r="B30" s="153"/>
      <c r="C30" s="138"/>
      <c r="D30" s="52" t="s">
        <v>161</v>
      </c>
      <c r="E30" s="149">
        <v>0.33</v>
      </c>
      <c r="F30" s="150" t="s">
        <v>176</v>
      </c>
      <c r="G30" s="2">
        <f t="shared" si="1"/>
        <v>7.92</v>
      </c>
      <c r="H30" s="150" t="s">
        <v>176</v>
      </c>
      <c r="I30" s="132"/>
    </row>
    <row r="31" spans="2:9">
      <c r="B31" s="153"/>
      <c r="C31" s="138"/>
      <c r="D31" s="52" t="s">
        <v>163</v>
      </c>
      <c r="E31" s="60">
        <v>12</v>
      </c>
      <c r="F31" s="52" t="s">
        <v>173</v>
      </c>
      <c r="G31" s="2">
        <f t="shared" si="1"/>
        <v>288</v>
      </c>
      <c r="H31" s="52" t="s">
        <v>173</v>
      </c>
      <c r="I31" s="132"/>
    </row>
    <row r="32" spans="2:9">
      <c r="B32" s="153"/>
      <c r="C32" s="138"/>
      <c r="D32" s="52" t="s">
        <v>165</v>
      </c>
      <c r="E32" s="60">
        <v>24</v>
      </c>
      <c r="F32" s="52" t="s">
        <v>173</v>
      </c>
      <c r="G32" s="2">
        <f t="shared" si="1"/>
        <v>576</v>
      </c>
      <c r="H32" s="52" t="s">
        <v>173</v>
      </c>
      <c r="I32" s="132"/>
    </row>
    <row r="33" spans="2:9">
      <c r="B33" s="153"/>
      <c r="C33" s="138"/>
      <c r="D33" s="52" t="s">
        <v>166</v>
      </c>
      <c r="E33" s="40">
        <v>18</v>
      </c>
      <c r="F33" s="52" t="s">
        <v>173</v>
      </c>
      <c r="G33" s="2">
        <f t="shared" si="1"/>
        <v>432</v>
      </c>
      <c r="H33" s="52" t="s">
        <v>173</v>
      </c>
      <c r="I33" s="132"/>
    </row>
    <row r="34" spans="2:9">
      <c r="B34" s="153"/>
      <c r="C34" s="138"/>
      <c r="D34" s="52" t="s">
        <v>167</v>
      </c>
      <c r="E34" s="40">
        <v>3</v>
      </c>
      <c r="F34" s="52" t="s">
        <v>173</v>
      </c>
      <c r="G34" s="2">
        <f t="shared" si="1"/>
        <v>72</v>
      </c>
      <c r="H34" s="52" t="s">
        <v>173</v>
      </c>
      <c r="I34" s="132"/>
    </row>
    <row r="35" spans="2:9">
      <c r="B35" s="153"/>
      <c r="C35" s="138"/>
      <c r="D35" s="52" t="s">
        <v>168</v>
      </c>
      <c r="E35" s="40">
        <v>0.5</v>
      </c>
      <c r="F35" s="52" t="s">
        <v>177</v>
      </c>
      <c r="G35" s="2">
        <f t="shared" si="1"/>
        <v>12</v>
      </c>
      <c r="H35" s="52" t="s">
        <v>177</v>
      </c>
      <c r="I35" s="132"/>
    </row>
    <row r="36" spans="2:9">
      <c r="B36" s="153"/>
      <c r="C36" s="138" t="s">
        <v>178</v>
      </c>
      <c r="D36" s="52" t="s">
        <v>180</v>
      </c>
      <c r="E36" s="40">
        <v>1</v>
      </c>
      <c r="F36" s="52" t="s">
        <v>190</v>
      </c>
      <c r="G36" s="2">
        <f t="shared" si="1"/>
        <v>24</v>
      </c>
      <c r="H36" s="52" t="s">
        <v>190</v>
      </c>
      <c r="I36" s="132"/>
    </row>
    <row r="37" spans="2:9">
      <c r="B37" s="153"/>
      <c r="C37" s="138"/>
      <c r="D37" s="52" t="s">
        <v>181</v>
      </c>
      <c r="E37" s="149">
        <v>23</v>
      </c>
      <c r="F37" s="52" t="s">
        <v>173</v>
      </c>
      <c r="G37" s="2">
        <f t="shared" si="1"/>
        <v>552</v>
      </c>
      <c r="H37" s="52" t="s">
        <v>173</v>
      </c>
      <c r="I37" s="132"/>
    </row>
    <row r="38" spans="2:9">
      <c r="B38" s="153"/>
      <c r="C38" s="138"/>
      <c r="D38" s="52" t="s">
        <v>168</v>
      </c>
      <c r="E38" s="149">
        <v>12</v>
      </c>
      <c r="F38" s="52" t="s">
        <v>173</v>
      </c>
      <c r="G38" s="2">
        <f t="shared" si="1"/>
        <v>288</v>
      </c>
      <c r="H38" s="52" t="s">
        <v>173</v>
      </c>
      <c r="I38" s="132"/>
    </row>
    <row r="39" spans="2:9">
      <c r="B39" s="153"/>
      <c r="C39" s="138"/>
      <c r="D39" s="52" t="s">
        <v>182</v>
      </c>
      <c r="E39" s="149">
        <v>22</v>
      </c>
      <c r="F39" s="52" t="s">
        <v>173</v>
      </c>
      <c r="G39" s="2">
        <f t="shared" si="1"/>
        <v>528</v>
      </c>
      <c r="H39" s="52" t="s">
        <v>173</v>
      </c>
      <c r="I39" s="132"/>
    </row>
    <row r="40" spans="2:9">
      <c r="B40" s="153"/>
      <c r="C40" s="138"/>
      <c r="D40" s="52" t="s">
        <v>183</v>
      </c>
      <c r="E40" s="149">
        <v>1</v>
      </c>
      <c r="F40" s="52" t="s">
        <v>191</v>
      </c>
      <c r="G40" s="2">
        <f t="shared" si="1"/>
        <v>24</v>
      </c>
      <c r="H40" s="52" t="s">
        <v>191</v>
      </c>
      <c r="I40" s="132"/>
    </row>
    <row r="41" spans="2:9">
      <c r="B41" s="153"/>
      <c r="C41" s="138"/>
      <c r="D41" s="52" t="s">
        <v>165</v>
      </c>
      <c r="E41" s="149">
        <v>24</v>
      </c>
      <c r="F41" s="52" t="s">
        <v>173</v>
      </c>
      <c r="G41" s="2">
        <f t="shared" si="1"/>
        <v>576</v>
      </c>
      <c r="H41" s="52" t="s">
        <v>173</v>
      </c>
      <c r="I41" s="132"/>
    </row>
    <row r="42" spans="2:9">
      <c r="B42" s="153"/>
      <c r="C42" s="138"/>
      <c r="D42" s="52" t="s">
        <v>185</v>
      </c>
      <c r="E42" s="40" t="s">
        <v>188</v>
      </c>
      <c r="F42" s="2"/>
      <c r="G42" s="2"/>
      <c r="H42" s="2"/>
      <c r="I42" s="132"/>
    </row>
    <row r="43" spans="2:9" ht="14.25" thickBot="1">
      <c r="B43" s="154"/>
      <c r="C43" s="139"/>
      <c r="D43" s="155" t="s">
        <v>186</v>
      </c>
      <c r="E43" s="41" t="s">
        <v>188</v>
      </c>
      <c r="F43" s="58"/>
      <c r="G43" s="58"/>
      <c r="H43" s="58"/>
      <c r="I43" s="133"/>
    </row>
    <row r="44" spans="2:9" ht="14.25" thickBot="1">
      <c r="B44" s="47"/>
      <c r="C44" s="47"/>
      <c r="D44" s="37"/>
      <c r="E44" s="37"/>
      <c r="F44" s="37"/>
      <c r="G44" s="37"/>
      <c r="H44" s="37"/>
      <c r="I44" s="47"/>
    </row>
    <row r="45" spans="2:9">
      <c r="B45" s="134" t="s">
        <v>192</v>
      </c>
      <c r="C45" s="137" t="s">
        <v>193</v>
      </c>
      <c r="D45" s="63" t="s">
        <v>194</v>
      </c>
      <c r="E45" s="64">
        <v>50</v>
      </c>
      <c r="F45" s="63" t="s">
        <v>9</v>
      </c>
      <c r="G45" s="4">
        <f>E45*$G$2</f>
        <v>1200</v>
      </c>
      <c r="H45" s="63" t="s">
        <v>9</v>
      </c>
      <c r="I45" s="159"/>
    </row>
    <row r="46" spans="2:9">
      <c r="B46" s="135"/>
      <c r="C46" s="138"/>
      <c r="D46" s="62" t="s">
        <v>195</v>
      </c>
      <c r="E46" s="161"/>
      <c r="F46" s="157"/>
      <c r="G46" s="2">
        <f t="shared" ref="G46:G62" si="2">E46*$G$2</f>
        <v>0</v>
      </c>
      <c r="H46" s="157"/>
      <c r="I46" s="141"/>
    </row>
    <row r="47" spans="2:9">
      <c r="B47" s="135"/>
      <c r="C47" s="138"/>
      <c r="D47" s="62" t="s">
        <v>10</v>
      </c>
      <c r="E47" s="60">
        <v>0.25</v>
      </c>
      <c r="F47" s="62" t="s">
        <v>189</v>
      </c>
      <c r="G47" s="2">
        <f t="shared" si="2"/>
        <v>6</v>
      </c>
      <c r="H47" s="62" t="s">
        <v>189</v>
      </c>
      <c r="I47" s="141"/>
    </row>
    <row r="48" spans="2:9">
      <c r="B48" s="135"/>
      <c r="C48" s="138"/>
      <c r="D48" s="62" t="s">
        <v>179</v>
      </c>
      <c r="E48" s="60">
        <v>0.5</v>
      </c>
      <c r="F48" s="62" t="s">
        <v>189</v>
      </c>
      <c r="G48" s="2">
        <f t="shared" si="2"/>
        <v>12</v>
      </c>
      <c r="H48" s="62" t="s">
        <v>189</v>
      </c>
      <c r="I48" s="141"/>
    </row>
    <row r="49" spans="2:9">
      <c r="B49" s="135"/>
      <c r="C49" s="138"/>
      <c r="D49" s="62" t="s">
        <v>196</v>
      </c>
      <c r="E49" s="60">
        <v>0.25</v>
      </c>
      <c r="F49" s="62" t="s">
        <v>11</v>
      </c>
      <c r="G49" s="2">
        <f t="shared" si="2"/>
        <v>6</v>
      </c>
      <c r="H49" s="62" t="s">
        <v>11</v>
      </c>
      <c r="I49" s="141"/>
    </row>
    <row r="50" spans="2:9">
      <c r="B50" s="135"/>
      <c r="C50" s="138"/>
      <c r="D50" s="52" t="s">
        <v>199</v>
      </c>
      <c r="E50" s="40"/>
      <c r="F50" s="2"/>
      <c r="G50" s="2">
        <f t="shared" si="2"/>
        <v>0</v>
      </c>
      <c r="H50" s="2"/>
      <c r="I50" s="141"/>
    </row>
    <row r="51" spans="2:9">
      <c r="B51" s="135"/>
      <c r="C51" s="138"/>
      <c r="D51" s="62" t="s">
        <v>154</v>
      </c>
      <c r="E51" s="60">
        <v>110</v>
      </c>
      <c r="F51" s="62" t="s">
        <v>12</v>
      </c>
      <c r="G51" s="2">
        <f t="shared" si="2"/>
        <v>2640</v>
      </c>
      <c r="H51" s="62" t="s">
        <v>12</v>
      </c>
      <c r="I51" s="141"/>
    </row>
    <row r="52" spans="2:9">
      <c r="B52" s="135"/>
      <c r="C52" s="138"/>
      <c r="D52" s="62" t="s">
        <v>200</v>
      </c>
      <c r="E52" s="60" t="s">
        <v>136</v>
      </c>
      <c r="F52" s="157"/>
      <c r="G52" s="2" t="e">
        <f t="shared" si="2"/>
        <v>#VALUE!</v>
      </c>
      <c r="H52" s="157"/>
      <c r="I52" s="141"/>
    </row>
    <row r="53" spans="2:9" ht="25.5">
      <c r="B53" s="135"/>
      <c r="C53" s="138"/>
      <c r="D53" s="62" t="s">
        <v>201</v>
      </c>
      <c r="E53" s="60">
        <v>0.08</v>
      </c>
      <c r="F53" s="62" t="s">
        <v>202</v>
      </c>
      <c r="G53" s="2">
        <f t="shared" si="2"/>
        <v>1.92</v>
      </c>
      <c r="H53" s="62" t="s">
        <v>202</v>
      </c>
      <c r="I53" s="141"/>
    </row>
    <row r="54" spans="2:9">
      <c r="B54" s="135"/>
      <c r="C54" s="1" t="s">
        <v>197</v>
      </c>
      <c r="D54" s="1"/>
      <c r="E54" s="40"/>
      <c r="F54" s="1"/>
      <c r="G54" s="2">
        <f t="shared" si="2"/>
        <v>0</v>
      </c>
      <c r="H54" s="1"/>
      <c r="I54" s="160"/>
    </row>
    <row r="55" spans="2:9">
      <c r="B55" s="135"/>
      <c r="C55" s="146" t="s">
        <v>203</v>
      </c>
      <c r="D55" s="62" t="s">
        <v>204</v>
      </c>
      <c r="E55" s="60">
        <v>0.25</v>
      </c>
      <c r="F55" s="62" t="s">
        <v>189</v>
      </c>
      <c r="G55" s="2">
        <f t="shared" si="2"/>
        <v>6</v>
      </c>
      <c r="H55" s="62" t="s">
        <v>189</v>
      </c>
      <c r="I55" s="111"/>
    </row>
    <row r="56" spans="2:9">
      <c r="B56" s="135"/>
      <c r="C56" s="146"/>
      <c r="D56" s="62" t="s">
        <v>205</v>
      </c>
      <c r="E56" s="60">
        <v>40</v>
      </c>
      <c r="F56" s="62" t="s">
        <v>9</v>
      </c>
      <c r="G56" s="2">
        <f t="shared" si="2"/>
        <v>960</v>
      </c>
      <c r="H56" s="62" t="s">
        <v>9</v>
      </c>
      <c r="I56" s="111"/>
    </row>
    <row r="57" spans="2:9">
      <c r="B57" s="135"/>
      <c r="C57" s="146"/>
      <c r="D57" s="62" t="s">
        <v>206</v>
      </c>
      <c r="E57" s="60">
        <v>0.25</v>
      </c>
      <c r="F57" s="62" t="s">
        <v>207</v>
      </c>
      <c r="G57" s="2">
        <f t="shared" si="2"/>
        <v>6</v>
      </c>
      <c r="H57" s="62" t="s">
        <v>207</v>
      </c>
      <c r="I57" s="111"/>
    </row>
    <row r="58" spans="2:9">
      <c r="B58" s="135"/>
      <c r="C58" s="146"/>
      <c r="D58" s="158" t="s">
        <v>198</v>
      </c>
      <c r="E58" s="161"/>
      <c r="F58" s="62"/>
      <c r="G58" s="2">
        <f t="shared" si="2"/>
        <v>0</v>
      </c>
      <c r="H58" s="62"/>
      <c r="I58" s="111"/>
    </row>
    <row r="59" spans="2:9">
      <c r="B59" s="135"/>
      <c r="C59" s="146"/>
      <c r="D59" s="62" t="s">
        <v>208</v>
      </c>
      <c r="E59" s="60">
        <v>10</v>
      </c>
      <c r="F59" s="62" t="s">
        <v>12</v>
      </c>
      <c r="G59" s="2">
        <f t="shared" si="2"/>
        <v>240</v>
      </c>
      <c r="H59" s="62" t="s">
        <v>12</v>
      </c>
      <c r="I59" s="111"/>
    </row>
    <row r="60" spans="2:9">
      <c r="B60" s="135"/>
      <c r="C60" s="146"/>
      <c r="D60" s="62" t="s">
        <v>209</v>
      </c>
      <c r="E60" s="60">
        <v>5</v>
      </c>
      <c r="F60" s="62" t="s">
        <v>12</v>
      </c>
      <c r="G60" s="2">
        <f t="shared" si="2"/>
        <v>120</v>
      </c>
      <c r="H60" s="62" t="s">
        <v>12</v>
      </c>
      <c r="I60" s="111"/>
    </row>
    <row r="61" spans="2:9">
      <c r="B61" s="135"/>
      <c r="C61" s="146"/>
      <c r="D61" s="62" t="s">
        <v>210</v>
      </c>
      <c r="E61" s="60" t="s">
        <v>136</v>
      </c>
      <c r="F61" s="157"/>
      <c r="G61" s="2" t="e">
        <f t="shared" si="2"/>
        <v>#VALUE!</v>
      </c>
      <c r="H61" s="157"/>
      <c r="I61" s="111"/>
    </row>
    <row r="62" spans="2:9" ht="14.25" thickBot="1">
      <c r="B62" s="136"/>
      <c r="C62" s="147"/>
      <c r="D62" s="65" t="s">
        <v>211</v>
      </c>
      <c r="E62" s="61" t="s">
        <v>136</v>
      </c>
      <c r="F62" s="65" t="s">
        <v>9</v>
      </c>
      <c r="G62" s="58" t="e">
        <f t="shared" si="2"/>
        <v>#VALUE!</v>
      </c>
      <c r="H62" s="65" t="s">
        <v>9</v>
      </c>
      <c r="I62" s="112"/>
    </row>
  </sheetData>
  <mergeCells count="18">
    <mergeCell ref="B45:B62"/>
    <mergeCell ref="C45:C53"/>
    <mergeCell ref="C55:C62"/>
    <mergeCell ref="I45:I53"/>
    <mergeCell ref="I55:I62"/>
    <mergeCell ref="B3:B23"/>
    <mergeCell ref="B25:B43"/>
    <mergeCell ref="C25:C35"/>
    <mergeCell ref="C36:C43"/>
    <mergeCell ref="I25:I35"/>
    <mergeCell ref="I36:I43"/>
    <mergeCell ref="E2:F2"/>
    <mergeCell ref="C3:C12"/>
    <mergeCell ref="C14:C17"/>
    <mergeCell ref="C18:C23"/>
    <mergeCell ref="I3:I12"/>
    <mergeCell ref="I14:I17"/>
    <mergeCell ref="I18:I23"/>
  </mergeCells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52"/>
  <sheetViews>
    <sheetView tabSelected="1" zoomScale="80" zoomScaleNormal="80" workbookViewId="0">
      <selection activeCell="D52" sqref="D52"/>
    </sheetView>
  </sheetViews>
  <sheetFormatPr defaultRowHeight="13.5"/>
  <cols>
    <col min="2" max="2" width="8.25" bestFit="1" customWidth="1"/>
    <col min="3" max="3" width="30.5" bestFit="1" customWidth="1"/>
    <col min="4" max="4" width="17.875" bestFit="1" customWidth="1"/>
    <col min="6" max="6" width="4.125" bestFit="1" customWidth="1"/>
    <col min="7" max="7" width="10.375" bestFit="1" customWidth="1"/>
    <col min="8" max="8" width="5.875" bestFit="1" customWidth="1"/>
    <col min="9" max="9" width="73.25" customWidth="1"/>
  </cols>
  <sheetData>
    <row r="1" spans="2:9" ht="14.25" thickBot="1">
      <c r="G1">
        <v>24</v>
      </c>
    </row>
    <row r="2" spans="2:9">
      <c r="B2" s="164" t="s">
        <v>212</v>
      </c>
      <c r="C2" s="137" t="s">
        <v>213</v>
      </c>
      <c r="D2" s="63" t="s">
        <v>214</v>
      </c>
      <c r="E2" s="64">
        <v>0.16</v>
      </c>
      <c r="F2" s="63" t="s">
        <v>215</v>
      </c>
      <c r="G2" s="55">
        <f>E2*$G$1</f>
        <v>3.84</v>
      </c>
      <c r="H2" s="63" t="s">
        <v>215</v>
      </c>
      <c r="I2" s="159"/>
    </row>
    <row r="3" spans="2:9">
      <c r="B3" s="165"/>
      <c r="C3" s="138"/>
      <c r="D3" s="62" t="s">
        <v>205</v>
      </c>
      <c r="E3" s="60">
        <v>0.05</v>
      </c>
      <c r="F3" s="62" t="s">
        <v>17</v>
      </c>
      <c r="G3" s="49">
        <f t="shared" ref="G3:G13" si="0">E3*$G$1</f>
        <v>1.2000000000000002</v>
      </c>
      <c r="H3" s="62" t="s">
        <v>17</v>
      </c>
      <c r="I3" s="141"/>
    </row>
    <row r="4" spans="2:9">
      <c r="B4" s="165"/>
      <c r="C4" s="138"/>
      <c r="D4" s="163" t="s">
        <v>217</v>
      </c>
      <c r="E4" s="60">
        <v>0.5</v>
      </c>
      <c r="F4" s="163" t="s">
        <v>218</v>
      </c>
      <c r="G4" s="49">
        <f t="shared" si="0"/>
        <v>12</v>
      </c>
      <c r="H4" s="163" t="s">
        <v>218</v>
      </c>
      <c r="I4" s="141"/>
    </row>
    <row r="5" spans="2:9">
      <c r="B5" s="165"/>
      <c r="C5" s="138"/>
      <c r="D5" s="62" t="s">
        <v>18</v>
      </c>
      <c r="E5" s="60">
        <v>0.125</v>
      </c>
      <c r="F5" s="62" t="s">
        <v>11</v>
      </c>
      <c r="G5" s="49">
        <f t="shared" si="0"/>
        <v>3</v>
      </c>
      <c r="H5" s="62" t="s">
        <v>11</v>
      </c>
      <c r="I5" s="141"/>
    </row>
    <row r="6" spans="2:9">
      <c r="B6" s="165"/>
      <c r="C6" s="138"/>
      <c r="D6" s="62" t="s">
        <v>216</v>
      </c>
      <c r="E6" s="60">
        <v>1</v>
      </c>
      <c r="F6" s="62" t="s">
        <v>153</v>
      </c>
      <c r="G6" s="49">
        <f t="shared" si="0"/>
        <v>24</v>
      </c>
      <c r="H6" s="62" t="s">
        <v>153</v>
      </c>
      <c r="I6" s="141"/>
    </row>
    <row r="7" spans="2:9" ht="16.5" customHeight="1">
      <c r="B7" s="165"/>
      <c r="C7" s="138"/>
      <c r="D7" s="52" t="s">
        <v>199</v>
      </c>
      <c r="E7" s="40"/>
      <c r="F7" s="2"/>
      <c r="G7" s="49"/>
      <c r="H7" s="2"/>
      <c r="I7" s="141"/>
    </row>
    <row r="8" spans="2:9">
      <c r="B8" s="165"/>
      <c r="C8" s="138"/>
      <c r="D8" s="62" t="s">
        <v>164</v>
      </c>
      <c r="E8" s="60">
        <v>4</v>
      </c>
      <c r="F8" s="62" t="s">
        <v>9</v>
      </c>
      <c r="G8" s="49">
        <f t="shared" si="0"/>
        <v>96</v>
      </c>
      <c r="H8" s="62" t="s">
        <v>9</v>
      </c>
      <c r="I8" s="141"/>
    </row>
    <row r="9" spans="2:9">
      <c r="B9" s="165"/>
      <c r="C9" s="138"/>
      <c r="D9" s="62" t="s">
        <v>184</v>
      </c>
      <c r="E9" s="60" t="s">
        <v>219</v>
      </c>
      <c r="F9" s="62" t="s">
        <v>9</v>
      </c>
      <c r="G9" s="49" t="e">
        <f t="shared" si="0"/>
        <v>#VALUE!</v>
      </c>
      <c r="H9" s="62" t="s">
        <v>9</v>
      </c>
      <c r="I9" s="141"/>
    </row>
    <row r="10" spans="2:9" ht="25.5">
      <c r="B10" s="165"/>
      <c r="C10" s="138" t="s">
        <v>220</v>
      </c>
      <c r="D10" s="62" t="s">
        <v>221</v>
      </c>
      <c r="E10" s="60">
        <v>0.25</v>
      </c>
      <c r="F10" s="62" t="s">
        <v>207</v>
      </c>
      <c r="G10" s="49">
        <f t="shared" si="0"/>
        <v>6</v>
      </c>
      <c r="H10" s="62" t="s">
        <v>207</v>
      </c>
      <c r="I10" s="132"/>
    </row>
    <row r="11" spans="2:9">
      <c r="B11" s="165"/>
      <c r="C11" s="138"/>
      <c r="D11" s="52" t="s">
        <v>199</v>
      </c>
      <c r="E11" s="40"/>
      <c r="F11" s="2"/>
      <c r="G11" s="49"/>
      <c r="H11" s="2"/>
      <c r="I11" s="132"/>
    </row>
    <row r="12" spans="2:9">
      <c r="B12" s="165"/>
      <c r="C12" s="138"/>
      <c r="D12" s="52" t="s">
        <v>222</v>
      </c>
      <c r="E12" s="40">
        <v>75</v>
      </c>
      <c r="F12" s="2" t="s">
        <v>174</v>
      </c>
      <c r="G12" s="49">
        <f t="shared" si="0"/>
        <v>1800</v>
      </c>
      <c r="H12" s="2" t="s">
        <v>174</v>
      </c>
      <c r="I12" s="132"/>
    </row>
    <row r="13" spans="2:9" ht="14.25" thickBot="1">
      <c r="B13" s="166"/>
      <c r="C13" s="139"/>
      <c r="D13" s="57" t="s">
        <v>223</v>
      </c>
      <c r="E13" s="61">
        <v>0.25</v>
      </c>
      <c r="F13" s="58" t="s">
        <v>224</v>
      </c>
      <c r="G13" s="167">
        <f t="shared" si="0"/>
        <v>6</v>
      </c>
      <c r="H13" s="58" t="s">
        <v>224</v>
      </c>
      <c r="I13" s="133"/>
    </row>
    <row r="14" spans="2:9" ht="14.25" thickBot="1">
      <c r="B14" s="47"/>
      <c r="C14" s="47"/>
      <c r="D14" s="37"/>
      <c r="E14" s="37"/>
      <c r="F14" s="37"/>
      <c r="G14" s="37"/>
      <c r="H14" s="37"/>
      <c r="I14" s="48"/>
    </row>
    <row r="15" spans="2:9">
      <c r="B15" s="151" t="s">
        <v>225</v>
      </c>
      <c r="C15" s="137" t="s">
        <v>226</v>
      </c>
      <c r="D15" s="152" t="s">
        <v>227</v>
      </c>
      <c r="E15" s="4">
        <v>1</v>
      </c>
      <c r="F15" s="4" t="s">
        <v>170</v>
      </c>
      <c r="G15" s="4">
        <f>E15*$G$1</f>
        <v>24</v>
      </c>
      <c r="H15" s="4"/>
      <c r="I15" s="159"/>
    </row>
    <row r="16" spans="2:9">
      <c r="B16" s="153"/>
      <c r="C16" s="138"/>
      <c r="D16" s="52" t="s">
        <v>228</v>
      </c>
      <c r="E16" s="2">
        <v>50</v>
      </c>
      <c r="F16" s="2" t="s">
        <v>172</v>
      </c>
      <c r="G16" s="2">
        <f t="shared" ref="G16:G21" si="1">E16*$G$1</f>
        <v>1200</v>
      </c>
      <c r="H16" s="2"/>
      <c r="I16" s="141"/>
    </row>
    <row r="17" spans="2:9">
      <c r="B17" s="153"/>
      <c r="C17" s="138"/>
      <c r="D17" s="52" t="s">
        <v>229</v>
      </c>
      <c r="E17" s="2">
        <v>100</v>
      </c>
      <c r="F17" s="2" t="s">
        <v>172</v>
      </c>
      <c r="G17" s="2">
        <f t="shared" si="1"/>
        <v>2400</v>
      </c>
      <c r="H17" s="2"/>
      <c r="I17" s="141"/>
    </row>
    <row r="18" spans="2:9">
      <c r="B18" s="153"/>
      <c r="C18" s="138"/>
      <c r="D18" s="52" t="s">
        <v>231</v>
      </c>
      <c r="E18" s="2">
        <v>50</v>
      </c>
      <c r="F18" s="2" t="s">
        <v>172</v>
      </c>
      <c r="G18" s="2">
        <f t="shared" si="1"/>
        <v>1200</v>
      </c>
      <c r="H18" s="2"/>
      <c r="I18" s="141"/>
    </row>
    <row r="19" spans="2:9">
      <c r="B19" s="153"/>
      <c r="C19" s="138"/>
      <c r="D19" s="52" t="s">
        <v>232</v>
      </c>
      <c r="E19" s="2">
        <v>6</v>
      </c>
      <c r="F19" s="2" t="s">
        <v>172</v>
      </c>
      <c r="G19" s="2">
        <f t="shared" si="1"/>
        <v>144</v>
      </c>
      <c r="H19" s="2"/>
      <c r="I19" s="141"/>
    </row>
    <row r="20" spans="2:9">
      <c r="B20" s="153"/>
      <c r="C20" s="138"/>
      <c r="D20" s="52" t="s">
        <v>233</v>
      </c>
      <c r="E20" s="2">
        <v>27</v>
      </c>
      <c r="F20" s="2" t="s">
        <v>172</v>
      </c>
      <c r="G20" s="2">
        <f t="shared" si="1"/>
        <v>648</v>
      </c>
      <c r="H20" s="2"/>
      <c r="I20" s="141"/>
    </row>
    <row r="21" spans="2:9" ht="14.25" thickBot="1">
      <c r="B21" s="154"/>
      <c r="C21" s="139"/>
      <c r="D21" s="57" t="s">
        <v>234</v>
      </c>
      <c r="E21" s="58" t="s">
        <v>188</v>
      </c>
      <c r="F21" s="58"/>
      <c r="G21" s="58" t="e">
        <f t="shared" si="1"/>
        <v>#VALUE!</v>
      </c>
      <c r="H21" s="58"/>
      <c r="I21" s="142"/>
    </row>
    <row r="22" spans="2:9">
      <c r="B22" s="37"/>
      <c r="C22" s="37"/>
      <c r="D22" s="37"/>
      <c r="E22" s="37"/>
      <c r="F22" s="37"/>
      <c r="G22" s="37"/>
      <c r="H22" s="37"/>
      <c r="I22" s="37"/>
    </row>
    <row r="23" spans="2:9" ht="14.1" customHeight="1">
      <c r="B23" s="47"/>
      <c r="C23" s="47"/>
      <c r="D23" s="37"/>
      <c r="E23" s="37"/>
      <c r="F23" s="37"/>
      <c r="G23" s="37"/>
      <c r="H23" s="37"/>
      <c r="I23" s="48"/>
    </row>
    <row r="24" spans="2:9">
      <c r="B24" s="47"/>
      <c r="C24" s="47"/>
      <c r="D24" s="37"/>
      <c r="E24" s="37"/>
      <c r="F24" s="37"/>
      <c r="G24" s="37"/>
      <c r="H24" s="37"/>
      <c r="I24" s="48"/>
    </row>
    <row r="25" spans="2:9">
      <c r="B25" s="47"/>
      <c r="C25" s="47"/>
      <c r="D25" s="37"/>
      <c r="E25" s="37"/>
      <c r="F25" s="37"/>
      <c r="G25" s="37"/>
      <c r="H25" s="37"/>
      <c r="I25" s="48"/>
    </row>
    <row r="26" spans="2:9">
      <c r="B26" s="47"/>
      <c r="C26" s="47"/>
      <c r="D26" s="37"/>
      <c r="E26" s="37"/>
      <c r="F26" s="37"/>
      <c r="G26" s="37"/>
      <c r="H26" s="37"/>
      <c r="I26" s="48"/>
    </row>
    <row r="27" spans="2:9">
      <c r="B27" s="47"/>
      <c r="C27" s="47"/>
      <c r="D27" s="37"/>
      <c r="E27" s="37"/>
      <c r="F27" s="37"/>
      <c r="G27" s="37"/>
      <c r="H27" s="37"/>
      <c r="I27" s="48"/>
    </row>
    <row r="28" spans="2:9">
      <c r="B28" s="47"/>
      <c r="C28" s="47"/>
      <c r="D28" s="37"/>
      <c r="E28" s="37"/>
      <c r="F28" s="37"/>
      <c r="G28" s="37"/>
      <c r="H28" s="37"/>
      <c r="I28" s="48"/>
    </row>
    <row r="29" spans="2:9">
      <c r="B29" s="47"/>
      <c r="C29" s="47"/>
      <c r="D29" s="37"/>
      <c r="E29" s="37"/>
      <c r="F29" s="37"/>
      <c r="G29" s="37"/>
      <c r="H29" s="37"/>
      <c r="I29" s="48"/>
    </row>
    <row r="30" spans="2:9">
      <c r="B30" s="47"/>
      <c r="C30" s="47"/>
      <c r="D30" s="37"/>
      <c r="E30" s="37"/>
      <c r="F30" s="37"/>
      <c r="G30" s="37"/>
      <c r="H30" s="37"/>
      <c r="I30" s="48"/>
    </row>
    <row r="31" spans="2:9">
      <c r="B31" s="47"/>
      <c r="C31" s="47"/>
      <c r="D31" s="37"/>
      <c r="E31" s="37"/>
      <c r="F31" s="37"/>
      <c r="G31" s="37"/>
      <c r="H31" s="37"/>
      <c r="I31" s="48"/>
    </row>
    <row r="32" spans="2:9">
      <c r="B32" s="47"/>
      <c r="C32" s="47"/>
      <c r="D32" s="37"/>
      <c r="E32" s="37"/>
      <c r="F32" s="37"/>
      <c r="G32" s="37"/>
      <c r="H32" s="37"/>
      <c r="I32" s="48"/>
    </row>
    <row r="33" spans="2:9">
      <c r="B33" s="47"/>
      <c r="C33" s="47"/>
      <c r="D33" s="37"/>
      <c r="E33" s="37"/>
      <c r="F33" s="37"/>
      <c r="G33" s="37"/>
      <c r="H33" s="37"/>
      <c r="I33" s="48"/>
    </row>
    <row r="34" spans="2:9">
      <c r="B34" s="47"/>
      <c r="C34" s="47"/>
      <c r="D34" s="37"/>
      <c r="E34" s="37"/>
      <c r="F34" s="37"/>
      <c r="G34" s="37"/>
      <c r="H34" s="37"/>
      <c r="I34" s="48"/>
    </row>
    <row r="35" spans="2:9">
      <c r="B35" s="47"/>
      <c r="C35" s="47"/>
      <c r="D35" s="37"/>
      <c r="E35" s="37"/>
      <c r="F35" s="37"/>
      <c r="G35" s="37"/>
      <c r="H35" s="37"/>
      <c r="I35" s="48"/>
    </row>
    <row r="36" spans="2:9">
      <c r="B36" s="47"/>
      <c r="C36" s="47"/>
      <c r="D36" s="37"/>
      <c r="E36" s="37"/>
      <c r="F36" s="37"/>
      <c r="G36" s="37"/>
      <c r="H36" s="37"/>
      <c r="I36" s="48"/>
    </row>
    <row r="37" spans="2:9">
      <c r="B37" s="47"/>
      <c r="C37" s="37"/>
      <c r="D37" s="37"/>
      <c r="E37" s="37"/>
      <c r="F37" s="37"/>
      <c r="G37" s="37"/>
      <c r="H37" s="37"/>
      <c r="I37" s="37"/>
    </row>
    <row r="38" spans="2:9">
      <c r="B38" s="42"/>
      <c r="C38" s="37"/>
      <c r="D38" s="37"/>
      <c r="E38" s="37"/>
      <c r="F38" s="37"/>
      <c r="G38" s="37"/>
      <c r="H38" s="37"/>
      <c r="I38" s="37"/>
    </row>
    <row r="39" spans="2:9">
      <c r="B39" s="37"/>
      <c r="C39" s="37"/>
      <c r="D39" s="37"/>
      <c r="E39" s="37"/>
      <c r="F39" s="37"/>
      <c r="G39" s="37"/>
      <c r="H39" s="37"/>
      <c r="I39" s="37"/>
    </row>
    <row r="40" spans="2:9">
      <c r="B40" s="47"/>
      <c r="C40" s="47"/>
      <c r="D40" s="37"/>
      <c r="E40" s="37"/>
      <c r="F40" s="37"/>
      <c r="G40" s="37"/>
      <c r="H40" s="37"/>
      <c r="I40" s="47"/>
    </row>
    <row r="41" spans="2:9">
      <c r="B41" s="47"/>
      <c r="C41" s="47"/>
      <c r="D41" s="37"/>
      <c r="E41" s="37"/>
      <c r="F41" s="37"/>
      <c r="G41" s="37"/>
      <c r="H41" s="37"/>
      <c r="I41" s="47"/>
    </row>
    <row r="42" spans="2:9">
      <c r="B42" s="47"/>
      <c r="C42" s="47"/>
      <c r="D42" s="37"/>
      <c r="E42" s="37"/>
      <c r="F42" s="37"/>
      <c r="G42" s="37"/>
      <c r="H42" s="37"/>
      <c r="I42" s="47"/>
    </row>
    <row r="43" spans="2:9">
      <c r="B43" s="47"/>
      <c r="C43" s="47"/>
      <c r="D43" s="37"/>
      <c r="E43" s="37"/>
      <c r="F43" s="37"/>
      <c r="G43" s="37"/>
      <c r="H43" s="37"/>
      <c r="I43" s="47"/>
    </row>
    <row r="44" spans="2:9">
      <c r="B44" s="47"/>
      <c r="C44" s="47"/>
      <c r="D44" s="37"/>
      <c r="E44" s="37"/>
      <c r="F44" s="37"/>
      <c r="G44" s="37"/>
      <c r="H44" s="37"/>
      <c r="I44" s="47"/>
    </row>
    <row r="45" spans="2:9">
      <c r="B45" s="47"/>
      <c r="C45" s="42"/>
      <c r="D45" s="37"/>
      <c r="E45" s="37"/>
      <c r="F45" s="37"/>
      <c r="G45" s="37"/>
      <c r="H45" s="37"/>
      <c r="I45" s="37"/>
    </row>
    <row r="46" spans="2:9">
      <c r="B46" s="47"/>
      <c r="C46" s="47"/>
      <c r="D46" s="37"/>
      <c r="E46" s="37"/>
      <c r="F46" s="37"/>
      <c r="G46" s="37"/>
      <c r="H46" s="37"/>
      <c r="I46" s="47"/>
    </row>
    <row r="47" spans="2:9">
      <c r="B47" s="47"/>
      <c r="C47" s="47"/>
      <c r="D47" s="37"/>
      <c r="E47" s="37"/>
      <c r="F47" s="37"/>
      <c r="G47" s="37"/>
      <c r="H47" s="37"/>
      <c r="I47" s="47"/>
    </row>
    <row r="48" spans="2:9">
      <c r="B48" s="47"/>
      <c r="C48" s="47"/>
      <c r="D48" s="37"/>
      <c r="E48" s="37"/>
      <c r="F48" s="37"/>
      <c r="G48" s="37"/>
      <c r="H48" s="37"/>
      <c r="I48" s="47"/>
    </row>
    <row r="49" spans="2:9">
      <c r="B49" s="47"/>
      <c r="C49" s="47"/>
      <c r="D49" s="37"/>
      <c r="E49" s="37"/>
      <c r="F49" s="37"/>
      <c r="G49" s="37"/>
      <c r="H49" s="37"/>
      <c r="I49" s="47"/>
    </row>
    <row r="50" spans="2:9">
      <c r="B50" s="47"/>
      <c r="C50" s="47"/>
      <c r="D50" s="37"/>
      <c r="E50" s="37"/>
      <c r="F50" s="37"/>
      <c r="G50" s="37"/>
      <c r="H50" s="37"/>
      <c r="I50" s="47"/>
    </row>
    <row r="51" spans="2:9">
      <c r="B51" s="47"/>
      <c r="C51" s="47"/>
      <c r="D51" s="37"/>
      <c r="E51" s="37"/>
      <c r="F51" s="37"/>
      <c r="G51" s="37"/>
      <c r="H51" s="37"/>
      <c r="I51" s="47"/>
    </row>
    <row r="52" spans="2:9">
      <c r="B52" s="47"/>
      <c r="C52" s="47"/>
      <c r="D52" s="37"/>
      <c r="E52" s="37"/>
      <c r="F52" s="37"/>
      <c r="G52" s="37"/>
      <c r="H52" s="37"/>
      <c r="I52" s="47"/>
    </row>
  </sheetData>
  <mergeCells count="8">
    <mergeCell ref="C2:C9"/>
    <mergeCell ref="C10:C13"/>
    <mergeCell ref="B2:B13"/>
    <mergeCell ref="I2:I9"/>
    <mergeCell ref="I10:I13"/>
    <mergeCell ref="C15:C21"/>
    <mergeCell ref="B15:B21"/>
    <mergeCell ref="I15:I21"/>
  </mergeCells>
  <phoneticPr fontId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59C55-3626-4F8C-A7CB-352092F33E00}">
  <dimension ref="A1:S60"/>
  <sheetViews>
    <sheetView workbookViewId="0">
      <selection activeCell="D31" sqref="D31"/>
    </sheetView>
  </sheetViews>
  <sheetFormatPr defaultRowHeight="13.5"/>
  <sheetData>
    <row r="1" spans="1:19" ht="27.75" thickBot="1">
      <c r="A1" s="54" t="s">
        <v>268</v>
      </c>
      <c r="B1" s="59">
        <v>75</v>
      </c>
      <c r="C1" s="55" t="s">
        <v>46</v>
      </c>
      <c r="D1" s="4">
        <f>B1*$G$3</f>
        <v>1800</v>
      </c>
      <c r="E1" s="55" t="s">
        <v>46</v>
      </c>
      <c r="I1" s="63"/>
      <c r="J1" s="64"/>
      <c r="K1" s="63"/>
      <c r="L1" s="4"/>
      <c r="M1" s="63"/>
      <c r="O1" s="63"/>
      <c r="P1" s="64"/>
      <c r="Q1" s="63"/>
      <c r="R1" s="55"/>
      <c r="S1" s="63"/>
    </row>
    <row r="2" spans="1:19" ht="14.25" thickBot="1">
      <c r="A2" s="170" t="s">
        <v>269</v>
      </c>
      <c r="B2" s="64">
        <v>50</v>
      </c>
      <c r="C2" s="63" t="s">
        <v>9</v>
      </c>
      <c r="D2" s="4">
        <f>B2*$G$3</f>
        <v>1200</v>
      </c>
      <c r="E2" s="63" t="s">
        <v>9</v>
      </c>
      <c r="I2" s="62"/>
      <c r="J2" s="60"/>
      <c r="K2" s="62"/>
      <c r="L2" s="4"/>
      <c r="M2" s="62"/>
      <c r="O2" s="62"/>
      <c r="P2" s="60"/>
      <c r="Q2" s="62"/>
      <c r="R2" s="55"/>
      <c r="S2" s="62"/>
    </row>
    <row r="3" spans="1:19" ht="25.5" thickBot="1">
      <c r="A3" s="52" t="s">
        <v>157</v>
      </c>
      <c r="B3" s="60">
        <v>100</v>
      </c>
      <c r="C3" s="52" t="s">
        <v>173</v>
      </c>
      <c r="D3" s="4">
        <f t="shared" ref="D3" si="0">B3*$G$3</f>
        <v>2400</v>
      </c>
      <c r="E3" s="52" t="s">
        <v>173</v>
      </c>
      <c r="G3">
        <v>24</v>
      </c>
      <c r="I3" s="62"/>
      <c r="J3" s="60"/>
      <c r="K3" s="62"/>
      <c r="L3" s="4"/>
      <c r="M3" s="62"/>
      <c r="O3" s="163"/>
      <c r="P3" s="60"/>
      <c r="Q3" s="163"/>
      <c r="R3" s="55"/>
      <c r="S3" s="163"/>
    </row>
    <row r="4" spans="1:19" ht="14.25" thickBot="1">
      <c r="A4" s="63" t="s">
        <v>194</v>
      </c>
      <c r="B4" s="64">
        <v>50</v>
      </c>
      <c r="C4" s="63" t="s">
        <v>9</v>
      </c>
      <c r="D4" s="4">
        <v>2400</v>
      </c>
      <c r="E4" s="63" t="s">
        <v>9</v>
      </c>
      <c r="I4" s="62"/>
      <c r="J4" s="60"/>
      <c r="K4" s="62"/>
      <c r="L4" s="4"/>
      <c r="M4" s="62"/>
      <c r="O4" s="62"/>
      <c r="P4" s="60"/>
      <c r="Q4" s="62"/>
      <c r="R4" s="55"/>
      <c r="S4" s="62"/>
    </row>
    <row r="5" spans="1:19" ht="14.25" thickBot="1">
      <c r="A5" s="62" t="s">
        <v>144</v>
      </c>
      <c r="B5" s="60">
        <v>50</v>
      </c>
      <c r="C5" s="62" t="s">
        <v>9</v>
      </c>
      <c r="D5" s="4">
        <f t="shared" ref="D5" si="1">B5*$G$3</f>
        <v>1200</v>
      </c>
      <c r="E5" s="62" t="s">
        <v>9</v>
      </c>
      <c r="I5" s="52"/>
      <c r="J5" s="40"/>
      <c r="K5" s="2"/>
      <c r="L5" s="4"/>
      <c r="M5" s="2"/>
      <c r="O5" s="62"/>
      <c r="P5" s="60"/>
      <c r="Q5" s="62"/>
      <c r="R5" s="55"/>
      <c r="S5" s="62"/>
    </row>
    <row r="6" spans="1:19" ht="14.25" thickBot="1">
      <c r="A6" s="2"/>
      <c r="B6" s="40"/>
      <c r="C6" s="2"/>
      <c r="D6" s="2">
        <f t="shared" ref="D2:D22" si="2">B6*$G$3</f>
        <v>0</v>
      </c>
      <c r="E6" s="2"/>
      <c r="I6" s="62"/>
      <c r="J6" s="60"/>
      <c r="K6" s="62"/>
      <c r="L6" s="4"/>
      <c r="M6" s="62"/>
      <c r="O6" s="52"/>
      <c r="P6" s="40"/>
      <c r="Q6" s="2"/>
      <c r="R6" s="55"/>
      <c r="S6" s="2"/>
    </row>
    <row r="7" spans="1:19" ht="14.25" thickBot="1">
      <c r="A7" s="62" t="s">
        <v>230</v>
      </c>
      <c r="B7" s="62">
        <v>40</v>
      </c>
      <c r="C7" s="62" t="s">
        <v>9</v>
      </c>
      <c r="D7" s="2" t="s">
        <v>247</v>
      </c>
      <c r="E7" s="163" t="s">
        <v>246</v>
      </c>
      <c r="I7" s="62"/>
      <c r="J7" s="60"/>
      <c r="K7" s="62"/>
      <c r="L7" s="4"/>
      <c r="M7" s="62"/>
      <c r="O7" s="62"/>
      <c r="P7" s="60"/>
      <c r="Q7" s="62"/>
      <c r="R7" s="55"/>
      <c r="S7" s="62"/>
    </row>
    <row r="8" spans="1:19" ht="14.25" thickBot="1">
      <c r="A8" s="62" t="s">
        <v>39</v>
      </c>
      <c r="B8" s="62">
        <v>0.25</v>
      </c>
      <c r="C8" s="62" t="s">
        <v>11</v>
      </c>
      <c r="D8" s="2" t="s">
        <v>270</v>
      </c>
      <c r="E8" s="62" t="s">
        <v>11</v>
      </c>
      <c r="I8" s="62"/>
      <c r="J8" s="60"/>
      <c r="K8" s="62"/>
      <c r="L8" s="4"/>
      <c r="M8" s="62"/>
      <c r="O8" s="62"/>
      <c r="P8" s="60"/>
      <c r="Q8" s="62"/>
      <c r="R8" s="55"/>
      <c r="S8" s="62"/>
    </row>
    <row r="9" spans="1:19" ht="26.25" thickBot="1">
      <c r="A9" s="62" t="s">
        <v>132</v>
      </c>
      <c r="B9" s="62">
        <v>0.15</v>
      </c>
      <c r="C9" s="62" t="s">
        <v>215</v>
      </c>
      <c r="D9" s="2">
        <f>0.15*$G$3</f>
        <v>3.5999999999999996</v>
      </c>
      <c r="E9" s="62" t="s">
        <v>215</v>
      </c>
      <c r="I9" s="62"/>
      <c r="J9" s="60"/>
      <c r="K9" s="62"/>
      <c r="L9" s="4"/>
      <c r="M9" s="62"/>
      <c r="O9" s="62"/>
      <c r="P9" s="60"/>
      <c r="Q9" s="62"/>
      <c r="R9" s="55"/>
      <c r="S9" s="62"/>
    </row>
    <row r="10" spans="1:19" ht="14.25" thickBot="1">
      <c r="A10" s="52" t="s">
        <v>161</v>
      </c>
      <c r="B10" s="149">
        <v>0.33</v>
      </c>
      <c r="C10" s="150" t="s">
        <v>176</v>
      </c>
      <c r="D10" s="4">
        <v>8</v>
      </c>
      <c r="E10" s="150" t="s">
        <v>176</v>
      </c>
      <c r="I10" s="62"/>
      <c r="J10" s="60"/>
      <c r="K10" s="62"/>
      <c r="L10" s="4"/>
      <c r="M10" s="62"/>
      <c r="O10" s="52"/>
      <c r="P10" s="40"/>
      <c r="Q10" s="2"/>
      <c r="R10" s="55"/>
      <c r="S10" s="2"/>
    </row>
    <row r="11" spans="1:19" ht="14.25" thickBot="1">
      <c r="A11" s="163" t="s">
        <v>240</v>
      </c>
      <c r="B11" s="62"/>
      <c r="C11" s="62"/>
      <c r="D11" s="2">
        <v>18</v>
      </c>
      <c r="E11" s="62" t="s">
        <v>241</v>
      </c>
      <c r="I11" s="2"/>
      <c r="J11" s="40"/>
      <c r="K11" s="2"/>
      <c r="L11" s="4"/>
      <c r="M11" s="2"/>
      <c r="O11" s="52"/>
      <c r="P11" s="40"/>
      <c r="Q11" s="2"/>
      <c r="R11" s="55"/>
      <c r="S11" s="2"/>
    </row>
    <row r="12" spans="1:19" ht="26.25" thickBot="1">
      <c r="A12" s="62" t="s">
        <v>242</v>
      </c>
      <c r="B12" s="62"/>
      <c r="C12" s="62"/>
      <c r="D12" s="2">
        <v>36</v>
      </c>
      <c r="E12" s="62" t="s">
        <v>14</v>
      </c>
      <c r="I12" s="52"/>
      <c r="J12" s="60"/>
      <c r="K12" s="52"/>
      <c r="L12" s="4"/>
      <c r="M12" s="52"/>
      <c r="O12" s="57"/>
      <c r="P12" s="61"/>
      <c r="Q12" s="58"/>
      <c r="R12" s="55"/>
      <c r="S12" s="58"/>
    </row>
    <row r="13" spans="1:19" ht="14.25" thickBot="1">
      <c r="A13" s="62" t="s">
        <v>243</v>
      </c>
      <c r="B13" s="62"/>
      <c r="C13" s="62"/>
      <c r="D13" s="2">
        <v>9</v>
      </c>
      <c r="E13" s="62" t="s">
        <v>14</v>
      </c>
      <c r="I13" s="52"/>
      <c r="J13" s="60"/>
      <c r="K13" s="53"/>
      <c r="L13" s="4"/>
      <c r="M13" s="53"/>
      <c r="O13" s="37"/>
      <c r="P13" s="37"/>
      <c r="Q13" s="37"/>
      <c r="R13" s="55"/>
      <c r="S13" s="37"/>
    </row>
    <row r="14" spans="1:19" ht="14.25" thickBot="1">
      <c r="A14" s="62" t="s">
        <v>196</v>
      </c>
      <c r="B14" s="60">
        <v>0.25</v>
      </c>
      <c r="C14" s="62" t="s">
        <v>11</v>
      </c>
      <c r="D14" s="4">
        <f t="shared" ref="D14:D15" si="3">B14*$G$3</f>
        <v>6</v>
      </c>
      <c r="E14" s="62" t="s">
        <v>11</v>
      </c>
      <c r="I14" s="52"/>
      <c r="J14" s="40"/>
      <c r="K14" s="2"/>
      <c r="L14" s="4"/>
      <c r="M14" s="2"/>
      <c r="O14" s="152"/>
      <c r="P14" s="4"/>
      <c r="Q14" s="4"/>
      <c r="R14" s="55"/>
      <c r="S14" s="4"/>
    </row>
    <row r="15" spans="1:19" ht="14.25" thickBot="1">
      <c r="A15" s="62" t="s">
        <v>204</v>
      </c>
      <c r="B15" s="60">
        <v>0.25</v>
      </c>
      <c r="C15" s="62" t="s">
        <v>189</v>
      </c>
      <c r="D15" s="4">
        <f t="shared" si="3"/>
        <v>6</v>
      </c>
      <c r="E15" s="62" t="s">
        <v>189</v>
      </c>
      <c r="I15" s="52"/>
      <c r="J15" s="40"/>
      <c r="K15" s="2"/>
      <c r="L15" s="4"/>
      <c r="M15" s="2"/>
      <c r="O15" s="52"/>
      <c r="P15" s="2"/>
      <c r="Q15" s="2"/>
      <c r="R15" s="55"/>
      <c r="S15" s="2"/>
    </row>
    <row r="16" spans="1:19" ht="14.25" thickBot="1">
      <c r="A16" s="62" t="s">
        <v>244</v>
      </c>
      <c r="B16" s="62"/>
      <c r="C16" s="62"/>
      <c r="D16" s="2">
        <v>5</v>
      </c>
      <c r="E16" s="163" t="s">
        <v>245</v>
      </c>
      <c r="I16" s="62"/>
      <c r="J16" s="60"/>
      <c r="K16" s="62"/>
      <c r="L16" s="4"/>
      <c r="M16" s="62"/>
      <c r="O16" s="52"/>
      <c r="P16" s="2"/>
      <c r="Q16" s="2"/>
      <c r="R16" s="55"/>
      <c r="S16" s="2"/>
    </row>
    <row r="17" spans="1:19" ht="14.25" thickBot="1">
      <c r="A17" s="52" t="s">
        <v>229</v>
      </c>
      <c r="B17" s="2">
        <v>100</v>
      </c>
      <c r="C17" s="2" t="s">
        <v>172</v>
      </c>
      <c r="D17" s="55">
        <v>2</v>
      </c>
      <c r="E17" s="62" t="s">
        <v>245</v>
      </c>
      <c r="I17" s="62"/>
      <c r="J17" s="60"/>
      <c r="K17" s="62"/>
      <c r="L17" s="4"/>
      <c r="M17" s="62"/>
      <c r="O17" s="52"/>
      <c r="P17" s="2"/>
      <c r="Q17" s="2"/>
      <c r="R17" s="55"/>
      <c r="S17" s="2"/>
    </row>
    <row r="18" spans="1:19" ht="14.25" thickBot="1">
      <c r="A18" s="62" t="s">
        <v>248</v>
      </c>
      <c r="B18" s="62"/>
      <c r="C18" s="62"/>
      <c r="D18" s="2" t="s">
        <v>249</v>
      </c>
      <c r="E18" s="62" t="s">
        <v>246</v>
      </c>
      <c r="I18" s="52"/>
      <c r="J18" s="40"/>
      <c r="K18" s="2"/>
      <c r="L18" s="4"/>
      <c r="M18" s="2"/>
      <c r="O18" s="52"/>
      <c r="P18" s="2"/>
      <c r="Q18" s="2"/>
      <c r="R18" s="55"/>
      <c r="S18" s="2"/>
    </row>
    <row r="19" spans="1:19" ht="14.25" thickBot="1">
      <c r="A19" s="52" t="s">
        <v>250</v>
      </c>
      <c r="B19" s="2"/>
      <c r="C19" s="2"/>
      <c r="D19" s="2" t="s">
        <v>251</v>
      </c>
      <c r="E19" s="2" t="s">
        <v>246</v>
      </c>
      <c r="I19" s="62"/>
      <c r="J19" s="60"/>
      <c r="K19" s="62"/>
      <c r="L19" s="4"/>
      <c r="M19" s="62"/>
      <c r="O19" s="52"/>
      <c r="P19" s="2"/>
      <c r="Q19" s="2"/>
      <c r="R19" s="55"/>
      <c r="S19" s="2"/>
    </row>
    <row r="20" spans="1:19" ht="14.25" thickBot="1">
      <c r="A20" s="163" t="s">
        <v>252</v>
      </c>
      <c r="B20" s="62"/>
      <c r="C20" s="62"/>
      <c r="D20" s="2">
        <v>3</v>
      </c>
      <c r="E20" s="62" t="s">
        <v>253</v>
      </c>
      <c r="I20" s="62"/>
      <c r="J20" s="60"/>
      <c r="K20" s="62"/>
      <c r="L20" s="4"/>
      <c r="M20" s="62"/>
      <c r="O20" s="57"/>
      <c r="P20" s="58"/>
      <c r="Q20" s="58"/>
      <c r="R20" s="55"/>
      <c r="S20" s="58"/>
    </row>
    <row r="21" spans="1:19" ht="14.25" thickBot="1">
      <c r="A21" s="62" t="s">
        <v>254</v>
      </c>
      <c r="B21" s="62"/>
      <c r="C21" s="62"/>
      <c r="D21" s="2">
        <v>1</v>
      </c>
      <c r="E21" s="163" t="s">
        <v>246</v>
      </c>
      <c r="I21" s="65"/>
      <c r="J21" s="61"/>
      <c r="K21" s="65"/>
      <c r="L21" s="4"/>
      <c r="M21" s="65"/>
    </row>
    <row r="22" spans="1:19" ht="14.25" thickBot="1">
      <c r="A22" s="62" t="s">
        <v>138</v>
      </c>
      <c r="B22" s="62">
        <v>0.2</v>
      </c>
      <c r="C22" s="62" t="s">
        <v>11</v>
      </c>
      <c r="D22" s="2">
        <f t="shared" ref="D22:D24" si="4">B22*$G$3</f>
        <v>4.8000000000000007</v>
      </c>
      <c r="E22" s="62" t="s">
        <v>11</v>
      </c>
      <c r="I22" s="37"/>
      <c r="J22" s="37"/>
      <c r="K22" s="37"/>
      <c r="L22" s="37"/>
      <c r="M22" s="37"/>
    </row>
    <row r="23" spans="1:19" ht="14.25" thickBot="1">
      <c r="A23" s="62" t="s">
        <v>139</v>
      </c>
      <c r="B23" s="62">
        <v>0.2</v>
      </c>
      <c r="C23" s="62" t="s">
        <v>140</v>
      </c>
      <c r="D23" s="2">
        <f t="shared" si="4"/>
        <v>4.8000000000000007</v>
      </c>
      <c r="E23" s="62" t="s">
        <v>140</v>
      </c>
      <c r="I23" s="152"/>
      <c r="J23" s="64"/>
      <c r="K23" s="152"/>
      <c r="L23" s="4"/>
      <c r="M23" s="152"/>
    </row>
    <row r="24" spans="1:19" ht="14.25" thickBot="1">
      <c r="A24" s="62" t="s">
        <v>141</v>
      </c>
      <c r="B24" s="62">
        <v>2</v>
      </c>
      <c r="C24" s="62" t="s">
        <v>9</v>
      </c>
      <c r="D24" s="2" t="s">
        <v>256</v>
      </c>
      <c r="E24" s="163" t="s">
        <v>255</v>
      </c>
      <c r="I24" s="52"/>
      <c r="J24" s="60"/>
      <c r="K24" s="52"/>
      <c r="L24" s="4"/>
      <c r="M24" s="52"/>
    </row>
    <row r="25" spans="1:19" ht="14.25" thickBot="1">
      <c r="A25" s="152" t="s">
        <v>156</v>
      </c>
      <c r="B25" s="64">
        <v>1</v>
      </c>
      <c r="C25" s="152" t="s">
        <v>171</v>
      </c>
      <c r="D25" s="4">
        <f>B25*$G$3</f>
        <v>24</v>
      </c>
      <c r="E25" s="152" t="s">
        <v>171</v>
      </c>
      <c r="I25" s="52"/>
      <c r="J25" s="60"/>
      <c r="K25" s="52"/>
      <c r="L25" s="4"/>
      <c r="M25" s="52"/>
    </row>
    <row r="26" spans="1:19" ht="25.5" thickBot="1">
      <c r="A26" s="152" t="s">
        <v>227</v>
      </c>
      <c r="B26" s="4">
        <v>1</v>
      </c>
      <c r="C26" s="4" t="s">
        <v>170</v>
      </c>
      <c r="D26" s="55">
        <f t="shared" ref="D26" si="5">B26*$G$3</f>
        <v>24</v>
      </c>
      <c r="E26" s="4"/>
      <c r="I26" s="52"/>
      <c r="J26" s="60"/>
      <c r="K26" s="52"/>
      <c r="L26" s="4"/>
      <c r="M26" s="52"/>
    </row>
    <row r="27" spans="1:19" ht="26.25" thickBot="1">
      <c r="A27" s="156" t="s">
        <v>257</v>
      </c>
      <c r="B27" s="156"/>
      <c r="C27" s="156"/>
      <c r="D27" s="37">
        <v>3</v>
      </c>
      <c r="E27" s="156" t="s">
        <v>258</v>
      </c>
      <c r="I27" s="52"/>
      <c r="J27" s="40"/>
      <c r="K27" s="2"/>
      <c r="L27" s="4"/>
      <c r="M27" s="2"/>
    </row>
    <row r="28" spans="1:19" ht="14.25" thickBot="1">
      <c r="A28" s="156" t="s">
        <v>259</v>
      </c>
      <c r="B28" s="156"/>
      <c r="C28" s="156"/>
      <c r="D28" s="37">
        <v>18</v>
      </c>
      <c r="E28" s="156" t="s">
        <v>260</v>
      </c>
      <c r="I28" s="52"/>
      <c r="J28" s="149"/>
      <c r="K28" s="150"/>
      <c r="L28" s="4"/>
      <c r="M28" s="150"/>
    </row>
    <row r="29" spans="1:19" ht="26.25" thickBot="1">
      <c r="A29" s="156" t="s">
        <v>261</v>
      </c>
      <c r="B29" s="156"/>
      <c r="C29" s="156"/>
      <c r="D29" s="37">
        <v>6</v>
      </c>
      <c r="E29" s="162" t="s">
        <v>260</v>
      </c>
      <c r="I29" s="52"/>
      <c r="J29" s="60"/>
      <c r="K29" s="52"/>
      <c r="L29" s="4"/>
      <c r="M29" s="52"/>
    </row>
    <row r="30" spans="1:19" ht="25.5" thickBot="1">
      <c r="A30" s="148" t="s">
        <v>262</v>
      </c>
      <c r="D30" t="s">
        <v>263</v>
      </c>
      <c r="E30" s="148" t="s">
        <v>264</v>
      </c>
      <c r="I30" s="52"/>
      <c r="J30" s="60"/>
      <c r="K30" s="52"/>
      <c r="L30" s="4"/>
      <c r="M30" s="52"/>
    </row>
    <row r="31" spans="1:19" ht="14.25" thickBot="1">
      <c r="A31" s="148" t="s">
        <v>265</v>
      </c>
      <c r="D31" t="s">
        <v>267</v>
      </c>
      <c r="E31" s="148" t="s">
        <v>266</v>
      </c>
      <c r="I31" s="52"/>
      <c r="J31" s="40"/>
      <c r="K31" s="52"/>
      <c r="L31" s="4"/>
      <c r="M31" s="52"/>
    </row>
    <row r="32" spans="1:19" ht="26.25" thickBot="1">
      <c r="A32" s="63" t="s">
        <v>214</v>
      </c>
      <c r="D32">
        <v>4</v>
      </c>
      <c r="E32" s="148" t="s">
        <v>264</v>
      </c>
      <c r="I32" s="52"/>
      <c r="J32" s="40"/>
      <c r="K32" s="52"/>
      <c r="L32" s="4"/>
      <c r="M32" s="52"/>
    </row>
    <row r="33" spans="9:13" ht="14.25" thickBot="1">
      <c r="I33" s="52"/>
      <c r="J33" s="40"/>
      <c r="K33" s="52"/>
      <c r="L33" s="4"/>
      <c r="M33" s="52"/>
    </row>
    <row r="34" spans="9:13" ht="14.25" thickBot="1">
      <c r="I34" s="52"/>
      <c r="J34" s="40"/>
      <c r="K34" s="52"/>
      <c r="L34" s="4"/>
      <c r="M34" s="52"/>
    </row>
    <row r="35" spans="9:13" ht="14.25" thickBot="1">
      <c r="I35" s="52"/>
      <c r="J35" s="149"/>
      <c r="K35" s="52"/>
      <c r="L35" s="4"/>
      <c r="M35" s="52"/>
    </row>
    <row r="36" spans="9:13" ht="14.25" thickBot="1">
      <c r="I36" s="52"/>
      <c r="J36" s="149"/>
      <c r="K36" s="52"/>
      <c r="L36" s="4"/>
      <c r="M36" s="52"/>
    </row>
    <row r="37" spans="9:13" ht="14.25" thickBot="1">
      <c r="I37" s="52"/>
      <c r="J37" s="149"/>
      <c r="K37" s="52"/>
      <c r="L37" s="4"/>
      <c r="M37" s="52"/>
    </row>
    <row r="38" spans="9:13" ht="14.25" thickBot="1">
      <c r="I38" s="52"/>
      <c r="J38" s="149"/>
      <c r="K38" s="52"/>
      <c r="L38" s="4"/>
      <c r="M38" s="52"/>
    </row>
    <row r="39" spans="9:13">
      <c r="I39" s="52"/>
      <c r="J39" s="149"/>
      <c r="K39" s="52"/>
      <c r="L39" s="4"/>
      <c r="M39" s="52"/>
    </row>
    <row r="40" spans="9:13">
      <c r="I40" s="52"/>
      <c r="J40" s="40"/>
      <c r="K40" s="2"/>
      <c r="L40" s="2"/>
      <c r="M40" s="2"/>
    </row>
    <row r="41" spans="9:13" ht="14.25" thickBot="1">
      <c r="I41" s="155"/>
      <c r="J41" s="41"/>
      <c r="K41" s="58"/>
      <c r="L41" s="58"/>
      <c r="M41" s="58"/>
    </row>
    <row r="42" spans="9:13" ht="14.25" thickBot="1">
      <c r="I42" s="37"/>
      <c r="J42" s="37"/>
      <c r="K42" s="37"/>
      <c r="L42" s="37"/>
      <c r="M42" s="37"/>
    </row>
    <row r="43" spans="9:13" ht="14.25" thickBot="1">
      <c r="I43" s="63"/>
      <c r="J43" s="64"/>
      <c r="K43" s="63"/>
      <c r="L43" s="4"/>
      <c r="M43" s="63"/>
    </row>
    <row r="44" spans="9:13" ht="14.25" thickBot="1">
      <c r="I44" s="62"/>
      <c r="J44" s="161"/>
      <c r="K44" s="157"/>
      <c r="L44" s="4"/>
      <c r="M44" s="157"/>
    </row>
    <row r="45" spans="9:13" ht="14.25" thickBot="1">
      <c r="I45" s="62"/>
      <c r="J45" s="60"/>
      <c r="K45" s="62"/>
      <c r="L45" s="4"/>
      <c r="M45" s="62"/>
    </row>
    <row r="46" spans="9:13" ht="14.25" thickBot="1">
      <c r="I46" s="62"/>
      <c r="J46" s="60"/>
      <c r="K46" s="62"/>
      <c r="L46" s="4"/>
      <c r="M46" s="62"/>
    </row>
    <row r="47" spans="9:13" ht="14.25" thickBot="1">
      <c r="I47" s="62"/>
      <c r="J47" s="60"/>
      <c r="K47" s="62"/>
      <c r="L47" s="4"/>
      <c r="M47" s="62"/>
    </row>
    <row r="48" spans="9:13" ht="14.25" thickBot="1">
      <c r="I48" s="52"/>
      <c r="J48" s="40"/>
      <c r="K48" s="2"/>
      <c r="L48" s="4"/>
      <c r="M48" s="2"/>
    </row>
    <row r="49" spans="9:13" ht="14.25" thickBot="1">
      <c r="I49" s="62"/>
      <c r="J49" s="60"/>
      <c r="K49" s="62"/>
      <c r="L49" s="4"/>
      <c r="M49" s="62"/>
    </row>
    <row r="50" spans="9:13" ht="14.25" thickBot="1">
      <c r="I50" s="62"/>
      <c r="J50" s="60"/>
      <c r="K50" s="157"/>
      <c r="L50" s="4"/>
      <c r="M50" s="157"/>
    </row>
    <row r="51" spans="9:13" ht="14.25" thickBot="1">
      <c r="I51" s="62"/>
      <c r="J51" s="60"/>
      <c r="K51" s="62"/>
      <c r="L51" s="4"/>
      <c r="M51" s="62"/>
    </row>
    <row r="52" spans="9:13" ht="14.25" thickBot="1">
      <c r="I52" s="1"/>
      <c r="J52" s="40"/>
      <c r="K52" s="1"/>
      <c r="L52" s="4">
        <f t="shared" ref="L44:L60" si="6">J52*$G$3</f>
        <v>0</v>
      </c>
      <c r="M52" s="1"/>
    </row>
    <row r="53" spans="9:13" ht="14.25" thickBot="1">
      <c r="I53" s="62"/>
      <c r="J53" s="60"/>
      <c r="K53" s="62"/>
      <c r="L53" s="4"/>
      <c r="M53" s="62"/>
    </row>
    <row r="54" spans="9:13" ht="14.25" thickBot="1">
      <c r="I54" s="62"/>
      <c r="J54" s="60"/>
      <c r="K54" s="62"/>
      <c r="L54" s="4"/>
      <c r="M54" s="62"/>
    </row>
    <row r="55" spans="9:13" ht="14.25" thickBot="1">
      <c r="I55" s="62"/>
      <c r="J55" s="60"/>
      <c r="K55" s="62"/>
      <c r="L55" s="4"/>
      <c r="M55" s="62"/>
    </row>
    <row r="56" spans="9:13" ht="14.25" thickBot="1">
      <c r="I56" s="158"/>
      <c r="J56" s="161"/>
      <c r="K56" s="62"/>
      <c r="L56" s="4"/>
      <c r="M56" s="62"/>
    </row>
    <row r="57" spans="9:13" ht="14.25" thickBot="1">
      <c r="I57" s="62"/>
      <c r="J57" s="60"/>
      <c r="K57" s="62"/>
      <c r="L57" s="4"/>
      <c r="M57" s="62"/>
    </row>
    <row r="58" spans="9:13" ht="14.25" thickBot="1">
      <c r="I58" s="62"/>
      <c r="J58" s="60"/>
      <c r="K58" s="62"/>
      <c r="L58" s="4"/>
      <c r="M58" s="62"/>
    </row>
    <row r="59" spans="9:13" ht="14.25" thickBot="1">
      <c r="I59" s="62"/>
      <c r="J59" s="60"/>
      <c r="K59" s="157"/>
      <c r="L59" s="4"/>
      <c r="M59" s="157"/>
    </row>
    <row r="60" spans="9:13" ht="14.25" thickBot="1">
      <c r="I60" s="65"/>
      <c r="J60" s="61"/>
      <c r="K60" s="65"/>
      <c r="L60" s="4"/>
      <c r="M60" s="65"/>
    </row>
  </sheetData>
  <phoneticPr fontId="1"/>
  <hyperlinks>
    <hyperlink ref="A1" r:id="rId1" display="https://delishkitchen.tv/categories/9667" xr:uid="{76F6FC53-F443-4FF9-B484-713A62C843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メニュー表</vt:lpstr>
      <vt:lpstr>メニュー表（書き方）</vt:lpstr>
      <vt:lpstr>工程表</vt:lpstr>
      <vt:lpstr>1日目分量表</vt:lpstr>
      <vt:lpstr>2日目分量表</vt:lpstr>
      <vt:lpstr>3日目分量表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p217150c</dc:creator>
  <cp:lastModifiedBy>Yanagihara_Isshin</cp:lastModifiedBy>
  <dcterms:created xsi:type="dcterms:W3CDTF">2024-07-06T04:56:26Z</dcterms:created>
  <dcterms:modified xsi:type="dcterms:W3CDTF">2026-07-07T15:02:31Z</dcterms:modified>
</cp:coreProperties>
</file>